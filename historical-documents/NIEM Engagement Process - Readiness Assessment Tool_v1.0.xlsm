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7.xml" ContentType="application/vnd.openxmlformats-officedocument.drawing+xml"/>
  <Override PartName="/xl/drawings/drawing6.xml" ContentType="application/vnd.openxmlformats-officedocument.drawing+xml"/>
  <Override PartName="/xl/worksheets/sheet1.xml" ContentType="application/vnd.openxmlformats-officedocument.spreadsheetml.worksheet+xml"/>
  <Override PartName="/xl/drawings/drawing5.xml" ContentType="application/vnd.openxmlformats-officedocument.drawing+xml"/>
  <Override PartName="/xl/drawings/drawing1.xml" ContentType="application/vnd.openxmlformats-officedocument.drawing+xml"/>
  <Override PartName="/xl/charts/chart3.xml" ContentType="application/vnd.openxmlformats-officedocument.drawingml.chart+xml"/>
  <Override PartName="/xl/styles.xml" ContentType="application/vnd.openxmlformats-officedocument.spreadsheetml.styles+xml"/>
  <Override PartName="/xl/charts/chart2.xml" ContentType="application/vnd.openxmlformats-officedocument.drawingml.chart+xml"/>
  <Override PartName="/xl/sharedStrings.xml" ContentType="application/vnd.openxmlformats-officedocument.spreadsheetml.sharedStrings+xml"/>
  <Override PartName="/xl/drawings/drawing4.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2.xml" ContentType="application/vnd.openxmlformats-officedocument.drawing+xml"/>
  <Override PartName="/xl/charts/chart4.xml" ContentType="application/vnd.openxmlformats-officedocument.drawingml.chart+xml"/>
  <Override PartName="/xl/worksheets/sheet5.xml" ContentType="application/vnd.openxmlformats-officedocument.spreadsheetml.worksheet+xml"/>
  <Override PartName="/xl/worksheets/sheet6.xml" ContentType="application/vnd.openxmlformats-officedocument.spreadsheetml.worksheet+xml"/>
  <Override PartName="/xl/charts/chart8.xml" ContentType="application/vnd.openxmlformats-officedocument.drawingml.chart+xml"/>
  <Override PartName="/xl/theme/theme1.xml" ContentType="application/vnd.openxmlformats-officedocument.theme+xml"/>
  <Override PartName="/xl/worksheets/sheet7.xml" ContentType="application/vnd.openxmlformats-officedocument.spreadsheetml.worksheet+xml"/>
  <Override PartName="/xl/charts/chart7.xml" ContentType="application/vnd.openxmlformats-officedocument.drawingml.chart+xml"/>
  <Override PartName="/xl/charts/chart6.xml" ContentType="application/vnd.openxmlformats-officedocument.drawingml.chart+xml"/>
  <Override PartName="/xl/charts/chart5.xml" ContentType="application/vnd.openxmlformats-officedocument.drawingml.chart+xml"/>
  <Override PartName="/xl/worksheets/sheet8.xml" ContentType="application/vnd.openxmlformats-officedocument.spreadsheetml.worksheet+xml"/>
  <Override PartName="/xl/externalLinks/externalLink1.xml" ContentType="application/vnd.openxmlformats-officedocument.spreadsheetml.externalLink+xml"/>
  <Override PartName="/docProps/app.xml" ContentType="application/vnd.openxmlformats-officedocument.extended-propertie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6708" yWindow="288" windowWidth="5328" windowHeight="5280" tabRatio="885" activeTab="3"/>
  </bookViews>
  <sheets>
    <sheet name="Title" sheetId="10" r:id="rId1"/>
    <sheet name="Instructions" sheetId="8" r:id="rId2"/>
    <sheet name="Dashboard" sheetId="9" r:id="rId3"/>
    <sheet name="Business Need" sheetId="2" r:id="rId4"/>
    <sheet name="Stakeholder Community" sheetId="6" r:id="rId5"/>
    <sheet name="Planning Process" sheetId="3" r:id="rId6"/>
    <sheet name="Technical Capability" sheetId="4" r:id="rId7"/>
    <sheet name="Sheet1" sheetId="11" r:id="rId8"/>
  </sheets>
  <externalReferences>
    <externalReference r:id="rId9"/>
  </externalReferences>
  <definedNames>
    <definedName name="_xlnm._FilterDatabase" localSheetId="3" hidden="1">'Business Need'!$A$5:$K$10</definedName>
    <definedName name="AddDisc1">'[1]2.0 Exchange Variables'!#REF!</definedName>
    <definedName name="AddDisc2">'[1]2.0 Exchange Variables'!#REF!</definedName>
    <definedName name="AddDisc3">'[1]2.0 Exchange Variables'!#REF!</definedName>
    <definedName name="AnalysisOverTime">'[1]1.0 Instructions'!#REF!</definedName>
    <definedName name="AS2DocOpenMode" hidden="1">"AS2DocumentEdit"</definedName>
    <definedName name="Complexity">'[1]2.0 Exchange Variables'!$C$13</definedName>
    <definedName name="ComplexityList">'[1]2.0 Exchange Variables'!$I$8:$K$8</definedName>
    <definedName name="CostVariables">'[1]1.0 Instructions'!#REF!</definedName>
    <definedName name="ExchangeVariables">'[1]1.0 Instructions'!#REF!</definedName>
    <definedName name="ExistingIEPD">'[1]2.0 Exchange Variables'!$C$25</definedName>
    <definedName name="LCat1">'[1]3.0 Cost Variables'!$F$9</definedName>
    <definedName name="LCat10">'[1]3.0 Cost Variables'!$F$18</definedName>
    <definedName name="LCat2">'[1]3.0 Cost Variables'!$F$10</definedName>
    <definedName name="LCat3">'[1]3.0 Cost Variables'!$F$11</definedName>
    <definedName name="LCat4">'[1]3.0 Cost Variables'!$F$12</definedName>
    <definedName name="LCat5">'[1]3.0 Cost Variables'!$F$13</definedName>
    <definedName name="LCat6">'[1]3.0 Cost Variables'!$F$14</definedName>
    <definedName name="LCat7">'[1]3.0 Cost Variables'!$F$15</definedName>
    <definedName name="LCat8">'[1]3.0 Cost Variables'!$F$16</definedName>
    <definedName name="LCat9">'[1]3.0 Cost Variables'!$F$17</definedName>
    <definedName name="LOE">'[1]2.0 Exchange Variables'!$H$9:$H$12</definedName>
    <definedName name="Metrics">'[1]1.0 Instructions'!#REF!</definedName>
    <definedName name="ModelOverlap">'[1]2.0 Exchange Variables'!$A$18:$A$21</definedName>
    <definedName name="NewConsumers">'[1]2.0 Exchange Variables'!$C$9</definedName>
    <definedName name="NewConsumers1">'[1]2.0 Exchange Variables'!$D$9</definedName>
    <definedName name="NewConsumers2">'[1]2.0 Exchange Variables'!$E$9</definedName>
    <definedName name="NewConsumers3">'[1]2.0 Exchange Variables'!$F$9</definedName>
    <definedName name="NewIEPDs">'[1]2.0 Exchange Variables'!$C$10</definedName>
    <definedName name="NewIEPDs1">'[1]2.0 Exchange Variables'!$D$10</definedName>
    <definedName name="NewIEPDs2">'[1]2.0 Exchange Variables'!$E$10</definedName>
    <definedName name="NewIEPDs3">'[1]2.0 Exchange Variables'!$F$10</definedName>
    <definedName name="Overlap">'[1]2.0 Exchange Variables'!$C$26</definedName>
    <definedName name="_xlnm.Print_Area" localSheetId="3">'Business Need'!$A$5:$K$10</definedName>
    <definedName name="_xlnm.Print_Area" localSheetId="1">Instructions!$B$1:$L$13</definedName>
    <definedName name="_xlnm.Print_Area" localSheetId="5">'Planning Process'!$A$3:$K$11</definedName>
    <definedName name="_xlnm.Print_Area" localSheetId="4">'Stakeholder Community'!$A$5:$K$12</definedName>
    <definedName name="_xlnm.Print_Area" localSheetId="6">'Technical Capability'!$A$5:$K$13</definedName>
    <definedName name="ResourceType">'[1]3.0 Cost Variables'!$C$8:$D$8</definedName>
    <definedName name="ReuseDisc1">'[1]2.0 Exchange Variables'!#REF!</definedName>
    <definedName name="ReuseDisc2">'[1]2.0 Exchange Variables'!#REF!</definedName>
    <definedName name="ReuseDisc3">'[1]2.0 Exchange Variables'!#REF!</definedName>
    <definedName name="Training">'[1]3.0 Cost Variables'!$C$22</definedName>
    <definedName name="Training1">'[1]3.0 Cost Variables'!$E$2+'[1]3.0 Cost Variables'!$D$22</definedName>
    <definedName name="Training2">'[1]3.0 Cost Variables'!$E$22</definedName>
  </definedNames>
  <calcPr calcId="145621"/>
</workbook>
</file>

<file path=xl/calcChain.xml><?xml version="1.0" encoding="utf-8"?>
<calcChain xmlns="http://schemas.openxmlformats.org/spreadsheetml/2006/main">
  <c r="B6" i="10" l="1"/>
  <c r="F13" i="4" l="1"/>
  <c r="F12" i="4"/>
  <c r="F11" i="4"/>
  <c r="F10" i="4"/>
  <c r="F9" i="4"/>
  <c r="F8" i="4"/>
  <c r="F7" i="4"/>
  <c r="E14" i="4"/>
  <c r="D14" i="4"/>
  <c r="F14" i="4" l="1"/>
  <c r="E15" i="9" s="1"/>
  <c r="F11" i="3"/>
  <c r="F10" i="3"/>
  <c r="F9" i="3"/>
  <c r="F8" i="3"/>
  <c r="F7" i="3"/>
  <c r="D12" i="3"/>
  <c r="E12" i="3"/>
  <c r="F12" i="6"/>
  <c r="F11" i="6"/>
  <c r="F10" i="6"/>
  <c r="F9" i="6"/>
  <c r="F8" i="6"/>
  <c r="F7" i="6"/>
  <c r="E13" i="6"/>
  <c r="D13" i="6"/>
  <c r="F12" i="3" l="1"/>
  <c r="E14" i="9" s="1"/>
  <c r="F13" i="6"/>
  <c r="E13" i="9" s="1"/>
  <c r="E11" i="2"/>
  <c r="D11" i="2"/>
  <c r="F10" i="2"/>
  <c r="F9" i="2"/>
  <c r="F8" i="2"/>
  <c r="F7" i="2"/>
  <c r="F11" i="2" l="1"/>
  <c r="E12" i="9" s="1"/>
</calcChain>
</file>

<file path=xl/sharedStrings.xml><?xml version="1.0" encoding="utf-8"?>
<sst xmlns="http://schemas.openxmlformats.org/spreadsheetml/2006/main" count="236" uniqueCount="194">
  <si>
    <t>Date:</t>
  </si>
  <si>
    <t>Organization Name:</t>
  </si>
  <si>
    <t>Performed By:</t>
  </si>
  <si>
    <t>Total</t>
  </si>
  <si>
    <t>Scores</t>
  </si>
  <si>
    <t>Scores %</t>
  </si>
  <si>
    <t>Current</t>
  </si>
  <si>
    <t>Overall Score</t>
  </si>
  <si>
    <t>Definition</t>
  </si>
  <si>
    <t>Risk Management</t>
  </si>
  <si>
    <t>Data Access</t>
  </si>
  <si>
    <t>Data Storage</t>
  </si>
  <si>
    <t>Communication</t>
  </si>
  <si>
    <t>Standards Adoption</t>
  </si>
  <si>
    <t>Data Transmission</t>
  </si>
  <si>
    <t>Business Need</t>
  </si>
  <si>
    <t>Memorandum of Understanding/MOA</t>
  </si>
  <si>
    <t>Target Architecture</t>
  </si>
  <si>
    <t>Program Champion</t>
  </si>
  <si>
    <t>Sustainability</t>
  </si>
  <si>
    <t>Privacy and Security</t>
  </si>
  <si>
    <t>Technical Capabilities</t>
  </si>
  <si>
    <t>Planning Process</t>
  </si>
  <si>
    <t>Stakeholder Community</t>
  </si>
  <si>
    <t>Policies and Standards</t>
  </si>
  <si>
    <t>Strategic Priority Alignment</t>
  </si>
  <si>
    <t>Impact Analysis</t>
  </si>
  <si>
    <t>A conceptualization of the future state infrastructure supporting the information sharing and exchange initiative.  Planning the hardware, software, and network requirements will allow for continuous operations, both during transition and execution.</t>
  </si>
  <si>
    <t>Standards Implementation</t>
  </si>
  <si>
    <t xml:space="preserve">Stakeholders should be ready and willing to share their data, making it available and accessible to their approved information sharing and exchange partners. </t>
  </si>
  <si>
    <t>Executive Support</t>
  </si>
  <si>
    <t>An established leader who can offer direction, coordination, and facilitation among the stakeholder groups in the information exchange initiative. Program champions help establish credibility and authority throughout the initiative, including conflict resolution.</t>
  </si>
  <si>
    <t>Community Engagement  and Ownership</t>
  </si>
  <si>
    <t>Personnel Skills and Training</t>
  </si>
  <si>
    <t>There is no executive support for the information sharing and exchange initiative.</t>
  </si>
  <si>
    <t>There are formal internal and external communication structures. There may be a communications plan that details the communication methods, frequency, roles and responsibilities.</t>
  </si>
  <si>
    <t>There is little to no involvement from the internal and external community during the decision making process. Community partners do not feel a sense of ownership or responsibility.</t>
  </si>
  <si>
    <t>There is an established leader that is accepted by the internal and external stakeholders that provides the necessary guidance and direction for the initiative.</t>
  </si>
  <si>
    <t>There is no binding agreement for the initiative.</t>
  </si>
  <si>
    <t>There is no  definition for the information sharing and exchange initiative.</t>
  </si>
  <si>
    <t>There are no risk management plans and there are no risk identification activities taking place for the initiative .</t>
  </si>
  <si>
    <t>Risks are actively identified, monitored, and mitigated according to an established risk management plan.</t>
  </si>
  <si>
    <t>No funds have been allotted or allocated to support the initiative.</t>
  </si>
  <si>
    <t>Funds have been  allotted and allocated to support development and maintenance of the information and sharing exchange initiative.</t>
  </si>
  <si>
    <t>There is no sustainability plan and no resources (human or financial) have been allotted to support and enhance the initiative beyond implementation.</t>
  </si>
  <si>
    <t>There is a sustainability plan that defines the necessary resources to support the long-term operation and maintenance of the initiative.</t>
  </si>
  <si>
    <t>Value</t>
  </si>
  <si>
    <t>No analysis has been conducted regarding the effects of the information sharing and exchange initiative on current systems.</t>
  </si>
  <si>
    <t>There is no plan or concept of the future state infrastructure to support the information sharing and exchange initiative.</t>
  </si>
  <si>
    <t>The future state has been documented and planned for the information sharing and exchange initiative, including all of the hardware, software, and network requirements.</t>
  </si>
  <si>
    <t>No sharable components have been identified or the stakeholders are not willing to share the information.</t>
  </si>
  <si>
    <t>A data transmission mechanism has not been researched or selected for the information sharing and exchange initiative.</t>
  </si>
  <si>
    <t>Privacy and security are addressed through such mechanisms as authentication, authorization, and encryption. Regular security and privacy audits are conducted.</t>
  </si>
  <si>
    <t>There are  no established leaders to guide the initiative.</t>
  </si>
  <si>
    <t>All Internal and external stakeholders feel a strong sense of ownership and responsibility and are actively involved with providing feedback, input, and updates for the information sharing and exchange initiative.</t>
  </si>
  <si>
    <t>There is a binding agreement that defines the structure, scope, and purpose of the initiative. This may include usage agreements,  sharing agreements, and minimum security requirements. The MOU/MOA is also understood and accepted by the stakeholders.</t>
  </si>
  <si>
    <t>There is a clear definition of the domain, information, investment requirements, vision and value proposition for the initiative. It is understood and accepted by the stakeholders.</t>
  </si>
  <si>
    <t>The information sharing and exchange initiative data is not structured or query-able.</t>
  </si>
  <si>
    <t>Core Capability</t>
  </si>
  <si>
    <t>Internal policies are clearly defined. Both internal and external policies are understood by stakeholders, adhered to, and conducive for the exchange.</t>
  </si>
  <si>
    <t>Executives are knowledge about the initiative and are supportive.</t>
  </si>
  <si>
    <t>There is  very strong political goodwill  and buy-in among the executives sponsoring the information sharing and exchange initiative. Executives are very  knowledgeable about the initiative and its potential benefits.</t>
  </si>
  <si>
    <t>There is no formalized communication structure between internal or external stakeholders.</t>
  </si>
  <si>
    <t>A formal communication structure exists, but communications are inadequate and/or do not address all stakeholder needs.</t>
  </si>
  <si>
    <t xml:space="preserve">Few stakeholders are involved in the exchange or stakeholders have limited involvement. </t>
  </si>
  <si>
    <t>Most stakeholders are involved in the exchange, but do not feel a strong sense of ownership.</t>
  </si>
  <si>
    <t>Communications between stakeholders are ad-hoc.</t>
  </si>
  <si>
    <t>An agreement that defines the structure, scope, and purpose of the initiative is being developed.</t>
  </si>
  <si>
    <t>A proposed agreement that defines the structure, scope, and purpose of the initiative has been developed, but has not been accepted by all stakeholders.</t>
  </si>
  <si>
    <t>Existing standards are in place that must be converted/ harmonized.</t>
  </si>
  <si>
    <t>Risk management activities are taking place, but they are ad-hoc and/or inadequate.</t>
  </si>
  <si>
    <t>No standards have been identified or are being used for the exchange.</t>
  </si>
  <si>
    <t xml:space="preserve">Stakeholders are in the process of identifying appropriate standards for the exchange. </t>
  </si>
  <si>
    <t>Stakeholders have identified NIEM as a potential framework for the exchange.</t>
  </si>
  <si>
    <t>NIEM has been selected and accepted as the preferred framework by the stakeholders.</t>
  </si>
  <si>
    <t>There is a long term vision for the exchange, but specific resources to sustain the initiative have not been identified.</t>
  </si>
  <si>
    <t>Stakeholders are discussing/have discussed the resources needed to sustain the initiative, but have not come to consensus on what these resources should be.</t>
  </si>
  <si>
    <t>A proposed sustainability plan that identifies the long term resources needed for the initiative has been developed, but it has not been accepted by all stakeholders or is insufficient.</t>
  </si>
  <si>
    <t>Insufficient funds have been allocated to the exchange.</t>
  </si>
  <si>
    <t>Insufficient funds have been allocated to the exchange, but stakeholders are taking steps to address funding gaps.</t>
  </si>
  <si>
    <t>Most of the funds needed to support the initiative have been allocated and stakeholders are taking steps to address funding gaps.</t>
  </si>
  <si>
    <t xml:space="preserve">A general concept for the future state architecture has been identified, but specific requirements have not been defined. </t>
  </si>
  <si>
    <t>The future state concept, including specific requirements for hardware, software, and network capabilities, has been defined. However, the future state concept has not been agreed upon by all stakeholders and/or sponsors.</t>
  </si>
  <si>
    <t>Stakeholders have experience implementing information sharing and exchange standards, but do not have experience developing NIEM conformant exchanges.</t>
  </si>
  <si>
    <t xml:space="preserve">Stakeholders are in the process of developing NIEM conformant exchanges. </t>
  </si>
  <si>
    <t>Successful NIEM conformant exchange components have been built and implementation  adheres to NIEM best practices and have been endorsed by stakeholders.</t>
  </si>
  <si>
    <t>Data is stored in a repository, but the data structure is inconsistent and/or data is difficult to query.</t>
  </si>
  <si>
    <t xml:space="preserve">All data components required for the initiative are readily available and accessible. </t>
  </si>
  <si>
    <t>The organization and/or stakeholders have begun formulating the concept for the future state architecture.</t>
  </si>
  <si>
    <t>Stakeholders are identifying the data components required for the initiative.</t>
  </si>
  <si>
    <t>Some of the data components required for the initiative are accessible, but not all.</t>
  </si>
  <si>
    <t>Most of the required data components are accessible and stakeholders are taking steps to make all additional required components accessible.</t>
  </si>
  <si>
    <t>Stakeholders are identifying appropriate data transmission methods for the initiative.</t>
  </si>
  <si>
    <t>Data transmission methods have been selected and stakeholders are in the process of implementing them.</t>
  </si>
  <si>
    <t>Data transmission methods have been implemented, but may be inadequate or inappropriate for the initiative.</t>
  </si>
  <si>
    <t>Privacy and security requirements are being identified. Appropriate mechanisms for enforcing these requirements are being selected.</t>
  </si>
  <si>
    <t>There is an established leader, but stakeholders do not accept the leader as credible.</t>
  </si>
  <si>
    <t>There is an established, credible leader, but leadership responsibilities are not well defined or are inadequate.</t>
  </si>
  <si>
    <t>There are no relevant skilled personnel to carry out the initiative. Also, training is either unavailable or inaccessible to stakeholders.</t>
  </si>
  <si>
    <t>No/few personnel with relevant skills are available, but stakeholders are identifying skill gaps and investigating training/hiring options.</t>
  </si>
  <si>
    <t xml:space="preserve">Personnel with most of the relevant skills to carry out the initiative are available. Steps are being taken to hire/train personnel to address skill gaps. Training is accessible, but may be limited and/or only offered on an ad-hoc basis. </t>
  </si>
  <si>
    <t>All the necessary business and technical skills exist and are available to carry out the initiative. Training is either accessible internally or externally to the personnel to help carry out the initiative.</t>
  </si>
  <si>
    <t>Most or all stakeholders are involved in the exchange and feel some sense of ownership.</t>
  </si>
  <si>
    <t>Stakeholders are discussing the need for an agreement and tentative agreement contents.</t>
  </si>
  <si>
    <t>Stakeholders are developing a definition for the initiative.</t>
  </si>
  <si>
    <t>A comprehensive definition for the initiative exists, but it is not fully understood or accepted by stakeholders.</t>
  </si>
  <si>
    <t>Risk management activities are taking place, but risks and risk mitigation activities are not formally recorded or monitored.</t>
  </si>
  <si>
    <t>Risks are identified, monitored, and mitigated, however risk management procedures are not formally documented in a risk management plan.</t>
  </si>
  <si>
    <t>No experience in implementing information sharing and exchange standards.</t>
  </si>
  <si>
    <t>NIEM conformant exchanges have been developed, but they are not widely used and/or do not adhere to NIEM best practices.</t>
  </si>
  <si>
    <t>A repository and data structure to facilitate querying is being developed.</t>
  </si>
  <si>
    <t>Data is structured and stored in a repository. There may be some data structure/querying issues, but stakeholders are working to address these issues.</t>
  </si>
  <si>
    <t>The information sharing and exchange initiative data is both structured and query-able to an accepted format by stakeholders.</t>
  </si>
  <si>
    <t>Privacy and security requirements are being identified. Mechanisms have been selected, but they do not adequately address all requirements or stakeholder concerns.</t>
  </si>
  <si>
    <t>Introduction</t>
  </si>
  <si>
    <t>How to Use this Tool:</t>
  </si>
  <si>
    <t>Ready</t>
  </si>
  <si>
    <t>Indicator</t>
  </si>
  <si>
    <t>Internal policies are clearly defined and are understood by stakeholders, but are not fully adhered to. External regulations are understood and adhered to.</t>
  </si>
  <si>
    <t>There is an established, credible leader that is striving to increase influence with all stakeholders.</t>
  </si>
  <si>
    <t xml:space="preserve">A formal communication structure exists and communications are adequate. </t>
  </si>
  <si>
    <t>Comprehensive analysis has been conducted on impacts to the current system, but there has been limited/no analysis on how to transition the current architecture to the future state.</t>
  </si>
  <si>
    <t>Initial analysis has been conducted on the impacts of the initiative to the current system.</t>
  </si>
  <si>
    <t>Initial analysis is being conducted on the impacts of the initiative on current system architecture.</t>
  </si>
  <si>
    <t>Data transmission methods have been researched, selected, and implemented for the initiative.</t>
  </si>
  <si>
    <t>Privacy and security requirements have been identified and appropriate mechanisms are in place.</t>
  </si>
  <si>
    <t>Well-positioned to realize value of information sharing and exchange.</t>
  </si>
  <si>
    <t>Capable of realizing value, but improvements are needed to realize full potential.</t>
  </si>
  <si>
    <t>Funding</t>
  </si>
  <si>
    <t>A clear understanding of the organization’s information sharing objectives that is shared across all relevant stakeholders, both internal and external to that organization. The vision establishes the overarching purpose of the initiative.</t>
  </si>
  <si>
    <t xml:space="preserve">A shared understanding of the benefits of the information sharing activities to the organization and relevant stakeholders. This may include both qualitative and quantitative metrics that support the business case for the initiative. </t>
  </si>
  <si>
    <t>Rules, memoranda or guidelines that govern or influence the information sharing and exchange activities of an organization. Existing policies and standards should be understood by stakeholders and considered as information sharing and exchange activities are conducted. This may include standards or guidelines developed internally to an organization or externally (domain specific).
Examples include: 
• Internal – Information Sharing Access Agreements
• External – Health Insurance Portability and Accountability Act (HIPAA), Family Education and Privacy Act (FERPA).</t>
  </si>
  <si>
    <t xml:space="preserve">The alignment of information sharing activities to an organization's mission objectives, funding priorities and desired organizational visibility. </t>
  </si>
  <si>
    <t xml:space="preserve">Strong executive support demonstrates that there is political goodwill to foster the success of the initiative.  </t>
  </si>
  <si>
    <t>Availability of skilled personnel and accessibility of relevant training to support the information sharing and exchange initiative.
Examples of personnel skills include:
• Business – Project Planning skills, Communication skills, etc.
• Technical – Service Oriented Architecture, XML development, Enterprise Architecture, etc.
Examples of  training include:
• NIEM Technical Implementers Course
• NIEM Business Owners Course, etc.</t>
  </si>
  <si>
    <t xml:space="preserve">Information sharing partners and stakeholders may be involved in the initiative by providing feedback, input, and updates to the initiative as needed. A high degree of involvement shows that stakeholders are interested in the purpose and success of the initiative. </t>
  </si>
  <si>
    <t>Regular communication between stakeholders and formalized structures for communication will increase stakeholder awareness of initiative activities and facilitate community engagement.</t>
  </si>
  <si>
    <t xml:space="preserve">A documented structure, scope, and purpose of the information sharing and exchange initiative. The MOA/MOU is a legally binding agreement that  may include usage agreements, sharing agreements, and minimum security requirements. </t>
  </si>
  <si>
    <t xml:space="preserve">Selection and acceptance of a common standard to support the information sharing and exchange initiative. Effective and efficient information sharing is enabled by the use of standards. </t>
  </si>
  <si>
    <t>A plan for identifying risks that could undermine the success of the information sharing and exchange initiative. Creating contingency plans and monitoring risks such as funding cuts, scope creep and staff turnover helps to enable continuity of operations.</t>
  </si>
  <si>
    <t>Developing a plan that accounts for the human and financial resources needed to support and maintain the information sharing and exchange initiative beyond initial implementation. Long term vision and planning illustrates commitment to the initiative’s success.</t>
  </si>
  <si>
    <t xml:space="preserve">Adequate funding is needed to support development and continuation of the information sharing and exchange initiative. </t>
  </si>
  <si>
    <t>An assessment of the effects that information sharing and exchange will have on the current system architecture.  Additional research and analysis should be conducted to determine how to seamlessly transition to the future state of the system architecture.</t>
  </si>
  <si>
    <t>The information sharing and exchange data should be stored and formatted in a repository where it can be queried to successfully execute the initiative.</t>
  </si>
  <si>
    <t>Stakeholders should research the appropriate data transmission method for their technical landscape. The transmission method should be selected based on stakeholders’ information sharing and exchange needs and requirements.</t>
  </si>
  <si>
    <t xml:space="preserve">A knowledge and understanding of the privacy laws and regulations surrounding the information sharing and exchange initiative. Adhering to privacy practices and protecting information against unauthorized access promotes continuous operations and confidence in the initiative. </t>
  </si>
  <si>
    <t xml:space="preserve">Stakeholders should have experience or relevant skills with information sharing and exchange standards and execution, particularly using NIEM. </t>
  </si>
  <si>
    <t>Executives are aware of the initiative, but are not very knowledgeable about it.</t>
  </si>
  <si>
    <t>Executives are somewhat knowledgeable about the initiative and are somewhat supportive.</t>
  </si>
  <si>
    <t xml:space="preserve">Some personnel with relevant skills are available, but not enough to carry out the initiative. Steps are being taken to hire/train personnel to address skill gaps. </t>
  </si>
  <si>
    <t>A definition for the initiative exists, but it is not clear or comprehensive.</t>
  </si>
  <si>
    <t>Privacy and security concerns have not been taken into consideration or there are no mechanisms by which privacy and security concerns are addressed.</t>
  </si>
  <si>
    <t>Thorough research and analysis has been conducted regarding the effects of the initiative on current systems and how to transition the current architecture to the future state.</t>
  </si>
  <si>
    <t>Capable</t>
  </si>
  <si>
    <r>
      <rPr>
        <b/>
        <sz val="10"/>
        <rFont val="Arial"/>
        <family val="2"/>
      </rPr>
      <t xml:space="preserve">3. </t>
    </r>
    <r>
      <rPr>
        <sz val="10"/>
        <rFont val="Arial"/>
        <family val="2"/>
      </rPr>
      <t>Click the Overall and Dashboard tabs to view the overall  assessment</t>
    </r>
  </si>
  <si>
    <t>&lt; 90%</t>
  </si>
  <si>
    <t>&gt;= 90%</t>
  </si>
  <si>
    <t>A clear vision has not been identified or established for the information exchange initiative/activity.</t>
  </si>
  <si>
    <t>The vision for the  information exchange initiative/activity is currently being defined.</t>
  </si>
  <si>
    <t>The proposed vision for the  information exchange initiative/activity has been identified, but it is not fully defined.</t>
  </si>
  <si>
    <t>The proposed vision for the information exchange initiative/activity hass been clearly defined, but it has not been accepted by all stakeholders.</t>
  </si>
  <si>
    <t>The vision for the  information exchange initiative/activity is clearly defined, the concept and scope has been outlinined, and has all been accepted by stakeholders.</t>
  </si>
  <si>
    <t>The benefits of the information exchange initiative/activity are unclear or undefined.</t>
  </si>
  <si>
    <t>Stakeholders are in the process of discussing and identifying potential information exchange benefits.</t>
  </si>
  <si>
    <t>Potential information exchange benefits have been identified, but they are not clearly defined and stakeholders do not share a common understanding of how these benefits apply.</t>
  </si>
  <si>
    <t>Information exchange benefits have been clearly identified but are not understood by all stakeholders and/or are not applicable to all stakeholder needs.</t>
  </si>
  <si>
    <t>The benefits of the information exchange initiative/activity are clearly defined, understood, and applicable to stakeholder needs.</t>
  </si>
  <si>
    <t>Information exchange fully aligns with strategic priorities of exchange partners and is highly visible to stakeholders.</t>
  </si>
  <si>
    <t>Information exchange initiative/activity does not align with strategic priorities.</t>
  </si>
  <si>
    <t>Information exchange initiative/activity loosley aligned with strategic priorities.</t>
  </si>
  <si>
    <t>Information exchange initiative/activity is loosley aligned with strategic priorities and stakeholders are taking steps to improve alignment.</t>
  </si>
  <si>
    <t>Information exchange initiative/activity mostly aligns with strategic priorities and is somewhat visible to stakeholders.</t>
  </si>
  <si>
    <t>No internal policies exist for the information exchange initiative/activity, and/or external regulations exist that prohibit the exchange.</t>
  </si>
  <si>
    <t>Internal policies are being defined or modified to address information exchange initiative/activity. Any external regulations are understood and adhered to.</t>
  </si>
  <si>
    <t>Internal policies have been defined, but are not fully understood by stakeholders. External regulations are understood and adhered to.</t>
  </si>
  <si>
    <r>
      <rPr>
        <b/>
        <sz val="10"/>
        <rFont val="Arial"/>
        <family val="2"/>
      </rPr>
      <t xml:space="preserve">1. </t>
    </r>
    <r>
      <rPr>
        <sz val="10"/>
        <rFont val="Arial"/>
        <family val="2"/>
      </rPr>
      <t>In order to use this tool, the user must first interview a point of contact from the organization using the NIEM Engagement Process interview framework and response data from the NIEM Data Collection Tool.</t>
    </r>
  </si>
  <si>
    <t>Business Need Score Guide</t>
  </si>
  <si>
    <t>Score Values</t>
  </si>
  <si>
    <t>Stakeholder Community Score Guide</t>
  </si>
  <si>
    <t>Vision</t>
  </si>
  <si>
    <t>Planning Process Score Guide</t>
  </si>
  <si>
    <t>Information Sharing and Exchange Initiative  - A clear definition of the information sharing and exchange initiative that addresses requirements, resources and objectives that will help to carry out the initiative through all phases of implementation (e.g., a charter).</t>
  </si>
  <si>
    <t>Technical Capability Score Guide</t>
  </si>
  <si>
    <t>Percentage</t>
  </si>
  <si>
    <t>NIEM Readiness Assessment Tool v1.0</t>
  </si>
  <si>
    <t>National Information Exchange Model</t>
  </si>
  <si>
    <t>NIEM Readiness Assessment v. 1.0</t>
  </si>
  <si>
    <t>Instructions</t>
  </si>
  <si>
    <t>Dashboard</t>
  </si>
  <si>
    <t>General Information</t>
  </si>
  <si>
    <t>(click here to reset scores entered.)</t>
  </si>
  <si>
    <r>
      <rPr>
        <b/>
        <sz val="10"/>
        <rFont val="Arial"/>
        <family val="2"/>
      </rPr>
      <t>Objective:</t>
    </r>
    <r>
      <rPr>
        <sz val="10"/>
        <rFont val="Arial"/>
        <family val="2"/>
      </rPr>
      <t xml:space="preserve">
The objective of this assessment  tool is to gauge and depict  your organization's information sharing  and exchange status based on predefined  NIEM Engagement Process  Core Capabilities and Indicators.  These identifiers have been designed for your organization to simplify a self-assessment process based on discussions with relavant 
stakeholders in addition to technical and business owners of the information sharing and exchange activities.
</t>
    </r>
    <r>
      <rPr>
        <b/>
        <sz val="10"/>
        <rFont val="Arial"/>
        <family val="2"/>
      </rPr>
      <t>Note:</t>
    </r>
    <r>
      <rPr>
        <sz val="10"/>
        <rFont val="Arial"/>
        <family val="2"/>
      </rPr>
      <t xml:space="preserve">
The deducted results  shall then be used to asses an organization's readiness for NIEM adoption,  and develop  a realistic action plan for a sustainable information sharing and exchange.</t>
    </r>
  </si>
  <si>
    <r>
      <rPr>
        <b/>
        <sz val="10"/>
        <rFont val="Arial"/>
        <family val="2"/>
      </rPr>
      <t xml:space="preserve">2. </t>
    </r>
    <r>
      <rPr>
        <sz val="10"/>
        <rFont val="Arial"/>
        <family val="2"/>
      </rPr>
      <t>Using feedback obtained from the interview (Data Collection Tool), enter the scores for the major core capabilities and indicators in the following tab order.
- Business Need
- Stakeholder Community
- Planning Process
- Technical Capabilities
Score are given based on evaluation of the data collected in the Data Collection Tool.  Accuracy of the results in this Readiness Assessment is dependent on how particular each indicator is being scored.  All scores are to be entered under the "</t>
    </r>
    <r>
      <rPr>
        <b/>
        <sz val="10"/>
        <rFont val="Arial"/>
        <family val="2"/>
      </rPr>
      <t>Current</t>
    </r>
    <r>
      <rPr>
        <sz val="10"/>
        <rFont val="Arial"/>
        <family val="2"/>
      </rPr>
      <t>" column between 1-5 accordingly.  Each entry percentage will be calculated based on current scores entered up to two (2) decimal places.</t>
    </r>
  </si>
  <si>
    <t>Note:
Do not change any values in the "overall" tab since they are automatically generated and aggregated from all the 4 core capability tab scores.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</si>
</sst>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quot;$&quot;* #,##0.00_);_(&quot;$&quot;* \(#,##0.00\);_(&quot;$&quot;* &quot;-&quot;??_);_(@_)"/>
    <numFmt numFmtId="43" formatCode="_(* #,##0.00_);_(* \(#,##0.00\);_(* &quot;-&quot;??_);_(@_)"/>
    <numFmt numFmtId="164" formatCode="0.0%"/>
    <numFmt numFmtId="165" formatCode="[$-409]mmmm\ d\,\ yyyy;@"/>
  </numFmts>
  <fonts count="27" x14ac:knownFonts="1">
    <font>
      <sz val="11"/>
      <color theme="1"/>
      <name val="Calibri"/>
      <family val="2"/>
      <scheme val="minor"/>
    </font>
    <font>
      <b/>
      <sz val="14"/>
      <name val="Arial"/>
      <family val="2"/>
    </font>
    <font>
      <b/>
      <sz val="10"/>
      <name val="Arial"/>
      <family val="2"/>
    </font>
    <font>
      <b/>
      <sz val="12"/>
      <name val="Arial"/>
      <family val="2"/>
    </font>
    <font>
      <sz val="10"/>
      <name val="Arial"/>
      <family val="2"/>
    </font>
    <font>
      <sz val="10"/>
      <name val="Arial"/>
      <family val="2"/>
    </font>
    <font>
      <sz val="9"/>
      <color theme="1"/>
      <name val="Calibri"/>
      <family val="2"/>
      <scheme val="minor"/>
    </font>
    <font>
      <sz val="10"/>
      <color theme="1"/>
      <name val="Arial"/>
      <family val="2"/>
    </font>
    <font>
      <b/>
      <sz val="10"/>
      <color theme="1"/>
      <name val="Arial"/>
      <family val="2"/>
    </font>
    <font>
      <b/>
      <sz val="16"/>
      <color theme="1"/>
      <name val="Arial"/>
      <family val="2"/>
    </font>
    <font>
      <sz val="16"/>
      <color theme="1"/>
      <name val="Arial"/>
      <family val="2"/>
    </font>
    <font>
      <b/>
      <sz val="16"/>
      <color theme="0"/>
      <name val="Arial"/>
      <family val="2"/>
    </font>
    <font>
      <b/>
      <sz val="12"/>
      <color theme="0"/>
      <name val="Arial"/>
      <family val="2"/>
    </font>
    <font>
      <sz val="12"/>
      <name val="Arial"/>
      <family val="2"/>
    </font>
    <font>
      <b/>
      <sz val="10"/>
      <color theme="0"/>
      <name val="Arial"/>
      <family val="2"/>
    </font>
    <font>
      <sz val="11"/>
      <color theme="1"/>
      <name val="Calibri"/>
      <family val="2"/>
      <scheme val="minor"/>
    </font>
    <font>
      <sz val="11"/>
      <color rgb="FF000000"/>
      <name val="Calibri"/>
      <family val="2"/>
    </font>
    <font>
      <b/>
      <sz val="12"/>
      <color theme="1"/>
      <name val="Arial"/>
      <family val="2"/>
    </font>
    <font>
      <b/>
      <sz val="26"/>
      <name val="Arial"/>
      <family val="2"/>
    </font>
    <font>
      <b/>
      <i/>
      <sz val="14"/>
      <color theme="0"/>
      <name val="Arial"/>
      <family val="2"/>
    </font>
    <font>
      <b/>
      <i/>
      <sz val="48"/>
      <color rgb="FF1E5883"/>
      <name val="Arial"/>
      <family val="2"/>
    </font>
    <font>
      <b/>
      <i/>
      <sz val="36"/>
      <color rgb="FF1E5883"/>
      <name val="Arial"/>
      <family val="2"/>
    </font>
    <font>
      <b/>
      <i/>
      <sz val="28"/>
      <color rgb="FF1E5883"/>
      <name val="Arial"/>
      <family val="2"/>
    </font>
    <font>
      <b/>
      <i/>
      <sz val="20"/>
      <color rgb="FF1E5883"/>
      <name val="Arial"/>
      <family val="2"/>
    </font>
    <font>
      <sz val="10"/>
      <name val="Tahoma"/>
      <family val="2"/>
    </font>
    <font>
      <b/>
      <sz val="14"/>
      <color theme="0"/>
      <name val="Arial"/>
      <family val="2"/>
    </font>
    <font>
      <b/>
      <u/>
      <sz val="14"/>
      <color rgb="FFFF0000"/>
      <name val="Arial"/>
      <family val="2"/>
    </font>
  </fonts>
  <fills count="12">
    <fill>
      <patternFill patternType="none"/>
    </fill>
    <fill>
      <patternFill patternType="gray125"/>
    </fill>
    <fill>
      <patternFill patternType="solid">
        <fgColor theme="0"/>
        <bgColor indexed="64"/>
      </patternFill>
    </fill>
    <fill>
      <patternFill patternType="solid">
        <fgColor theme="1" tint="0.499984740745262"/>
        <bgColor indexed="64"/>
      </patternFill>
    </fill>
    <fill>
      <patternFill patternType="solid">
        <fgColor theme="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bgColor indexed="64"/>
      </patternFill>
    </fill>
    <fill>
      <patternFill patternType="solid">
        <fgColor rgb="FFFFFFFF"/>
        <bgColor indexed="64"/>
      </patternFill>
    </fill>
    <fill>
      <patternFill patternType="solid">
        <fgColor rgb="FF1E5883"/>
        <bgColor indexed="64"/>
      </patternFill>
    </fill>
    <fill>
      <patternFill patternType="solid">
        <fgColor theme="3" tint="-0.499984740745262"/>
        <bgColor indexed="64"/>
      </patternFill>
    </fill>
    <fill>
      <patternFill patternType="solid">
        <fgColor theme="0" tint="-0.34998626667073579"/>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right/>
      <top/>
      <bottom style="medium">
        <color rgb="FF1E5883"/>
      </bottom>
      <diagonal/>
    </border>
  </borders>
  <cellStyleXfs count="10">
    <xf numFmtId="0" fontId="0" fillId="0" borderId="0"/>
    <xf numFmtId="0" fontId="4" fillId="0" borderId="0"/>
    <xf numFmtId="0" fontId="5" fillId="0" borderId="0"/>
    <xf numFmtId="9" fontId="15" fillId="0" borderId="0" applyFont="0" applyFill="0" applyBorder="0" applyAlignment="0" applyProtection="0"/>
    <xf numFmtId="43" fontId="2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cellStyleXfs>
  <cellXfs count="175">
    <xf numFmtId="0" fontId="0" fillId="0" borderId="0" xfId="0"/>
    <xf numFmtId="0" fontId="4" fillId="0" borderId="0" xfId="1"/>
    <xf numFmtId="0" fontId="0" fillId="0" borderId="0" xfId="0"/>
    <xf numFmtId="0" fontId="4" fillId="0" borderId="0" xfId="1"/>
    <xf numFmtId="0" fontId="4" fillId="0" borderId="0" xfId="1" applyBorder="1"/>
    <xf numFmtId="0" fontId="6" fillId="0" borderId="0" xfId="0" applyFont="1"/>
    <xf numFmtId="0" fontId="4" fillId="0" borderId="0" xfId="1" applyFont="1"/>
    <xf numFmtId="0" fontId="4" fillId="0" borderId="0" xfId="1" applyFont="1" applyBorder="1"/>
    <xf numFmtId="0" fontId="7" fillId="0" borderId="3" xfId="0" applyFont="1" applyBorder="1"/>
    <xf numFmtId="0" fontId="7" fillId="0" borderId="0" xfId="0" applyFont="1" applyBorder="1"/>
    <xf numFmtId="0" fontId="7" fillId="0" borderId="1" xfId="0" applyFont="1" applyBorder="1"/>
    <xf numFmtId="0" fontId="7" fillId="0" borderId="6" xfId="0" applyFont="1" applyBorder="1"/>
    <xf numFmtId="0" fontId="7" fillId="0" borderId="8" xfId="0" applyFont="1" applyBorder="1"/>
    <xf numFmtId="0" fontId="7" fillId="0" borderId="9" xfId="0" applyFont="1" applyBorder="1"/>
    <xf numFmtId="0" fontId="7" fillId="0" borderId="0" xfId="0" applyFont="1"/>
    <xf numFmtId="0" fontId="7" fillId="0" borderId="11" xfId="0" applyFont="1" applyBorder="1"/>
    <xf numFmtId="0" fontId="8" fillId="0" borderId="0" xfId="0" applyFont="1"/>
    <xf numFmtId="0" fontId="10" fillId="0" borderId="0" xfId="0" applyFont="1"/>
    <xf numFmtId="0" fontId="10" fillId="0" borderId="0" xfId="0" applyFont="1" applyBorder="1"/>
    <xf numFmtId="0" fontId="10" fillId="2" borderId="0" xfId="0" applyFont="1" applyFill="1"/>
    <xf numFmtId="0" fontId="7" fillId="2" borderId="0" xfId="0" applyFont="1" applyFill="1" applyBorder="1"/>
    <xf numFmtId="0" fontId="8" fillId="2" borderId="0" xfId="0" applyFont="1" applyFill="1"/>
    <xf numFmtId="0" fontId="7" fillId="2" borderId="0" xfId="0" applyFont="1" applyFill="1"/>
    <xf numFmtId="0" fontId="12" fillId="3" borderId="1" xfId="0" applyFont="1" applyFill="1" applyBorder="1" applyAlignment="1">
      <alignment horizontal="center"/>
    </xf>
    <xf numFmtId="0" fontId="4" fillId="2" borderId="0" xfId="1" applyFill="1"/>
    <xf numFmtId="0" fontId="4" fillId="2" borderId="0" xfId="1" applyFill="1" applyBorder="1"/>
    <xf numFmtId="0" fontId="7" fillId="2" borderId="12" xfId="0" applyFont="1" applyFill="1" applyBorder="1"/>
    <xf numFmtId="0" fontId="7" fillId="2" borderId="11" xfId="0" applyFont="1" applyFill="1" applyBorder="1"/>
    <xf numFmtId="0" fontId="9" fillId="2" borderId="10" xfId="0" applyFont="1" applyFill="1" applyBorder="1" applyAlignment="1"/>
    <xf numFmtId="0" fontId="9" fillId="2" borderId="3" xfId="0" applyFont="1" applyFill="1" applyBorder="1" applyAlignment="1"/>
    <xf numFmtId="0" fontId="7" fillId="2" borderId="0" xfId="0" applyFont="1" applyFill="1" applyBorder="1" applyAlignment="1">
      <alignment horizontal="left" vertical="top"/>
    </xf>
    <xf numFmtId="0" fontId="7" fillId="2" borderId="0" xfId="0" applyFont="1" applyFill="1" applyBorder="1" applyAlignment="1">
      <alignment horizontal="left"/>
    </xf>
    <xf numFmtId="0" fontId="7" fillId="2" borderId="0" xfId="0" applyFont="1" applyFill="1" applyAlignment="1">
      <alignment horizontal="left"/>
    </xf>
    <xf numFmtId="0" fontId="9" fillId="2" borderId="0" xfId="0" applyFont="1" applyFill="1" applyBorder="1" applyAlignment="1"/>
    <xf numFmtId="0" fontId="4" fillId="2" borderId="14" xfId="1" applyFill="1" applyBorder="1"/>
    <xf numFmtId="0" fontId="4" fillId="2" borderId="13" xfId="1" applyFill="1" applyBorder="1"/>
    <xf numFmtId="0" fontId="4" fillId="2" borderId="7" xfId="1" applyFill="1" applyBorder="1"/>
    <xf numFmtId="0" fontId="4" fillId="2" borderId="12" xfId="1" applyFill="1" applyBorder="1"/>
    <xf numFmtId="0" fontId="4" fillId="2" borderId="11" xfId="1" applyFill="1" applyBorder="1"/>
    <xf numFmtId="2" fontId="3" fillId="0" borderId="1" xfId="0" applyNumberFormat="1" applyFont="1" applyBorder="1" applyAlignment="1">
      <alignment horizontal="center"/>
    </xf>
    <xf numFmtId="2" fontId="3" fillId="5" borderId="1" xfId="0" applyNumberFormat="1" applyFont="1" applyFill="1" applyBorder="1" applyAlignment="1">
      <alignment horizontal="center"/>
    </xf>
    <xf numFmtId="0" fontId="4" fillId="7" borderId="1" xfId="1" applyFont="1" applyFill="1" applyBorder="1"/>
    <xf numFmtId="0" fontId="4" fillId="6" borderId="1" xfId="1" applyFont="1" applyFill="1" applyBorder="1"/>
    <xf numFmtId="0" fontId="16" fillId="0" borderId="0" xfId="0" applyFont="1"/>
    <xf numFmtId="0" fontId="16" fillId="8" borderId="0" xfId="0" applyFont="1" applyFill="1" applyBorder="1" applyAlignment="1">
      <alignment vertical="center"/>
    </xf>
    <xf numFmtId="10" fontId="0" fillId="2" borderId="0" xfId="0" applyNumberFormat="1" applyFill="1"/>
    <xf numFmtId="9" fontId="3" fillId="5" borderId="1" xfId="0" applyNumberFormat="1" applyFont="1" applyFill="1" applyBorder="1" applyAlignment="1">
      <alignment horizontal="center" vertical="center"/>
    </xf>
    <xf numFmtId="10" fontId="3" fillId="2" borderId="0" xfId="0" applyNumberFormat="1" applyFont="1" applyFill="1" applyBorder="1" applyAlignment="1"/>
    <xf numFmtId="10" fontId="3" fillId="5" borderId="1" xfId="3" applyNumberFormat="1" applyFont="1" applyFill="1" applyBorder="1" applyAlignment="1"/>
    <xf numFmtId="9" fontId="3" fillId="5" borderId="1" xfId="0" applyNumberFormat="1" applyFont="1" applyFill="1" applyBorder="1" applyAlignment="1">
      <alignment horizontal="center" vertical="center" wrapText="1"/>
    </xf>
    <xf numFmtId="10" fontId="3" fillId="5" borderId="1" xfId="0" applyNumberFormat="1" applyFont="1" applyFill="1" applyBorder="1" applyAlignment="1"/>
    <xf numFmtId="164" fontId="3" fillId="5" borderId="1" xfId="0" applyNumberFormat="1" applyFont="1" applyFill="1" applyBorder="1" applyAlignment="1">
      <alignment horizont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wrapText="1"/>
    </xf>
    <xf numFmtId="0" fontId="12" fillId="3" borderId="1" xfId="0" applyFont="1" applyFill="1" applyBorder="1" applyAlignment="1">
      <alignment horizontal="center"/>
    </xf>
    <xf numFmtId="0" fontId="3" fillId="5" borderId="1" xfId="0" applyFont="1" applyFill="1" applyBorder="1" applyAlignment="1">
      <alignment horizontal="center" vertical="center" wrapText="1"/>
    </xf>
    <xf numFmtId="0" fontId="12" fillId="3" borderId="1" xfId="0" applyFont="1" applyFill="1" applyBorder="1" applyAlignment="1">
      <alignment horizontal="center"/>
    </xf>
    <xf numFmtId="0" fontId="10" fillId="2" borderId="0" xfId="0" applyFont="1" applyFill="1" applyAlignment="1"/>
    <xf numFmtId="0" fontId="10" fillId="0" borderId="0" xfId="0" applyFont="1" applyAlignment="1"/>
    <xf numFmtId="0" fontId="8" fillId="2" borderId="0" xfId="0" applyFont="1" applyFill="1" applyAlignment="1"/>
    <xf numFmtId="0" fontId="8" fillId="0" borderId="0" xfId="0" applyFont="1" applyAlignment="1"/>
    <xf numFmtId="0" fontId="7" fillId="2" borderId="0" xfId="0" applyFont="1" applyFill="1" applyBorder="1" applyAlignment="1"/>
    <xf numFmtId="0" fontId="7" fillId="0" borderId="0" xfId="0" applyFont="1" applyBorder="1" applyAlignment="1"/>
    <xf numFmtId="0" fontId="7" fillId="0" borderId="3" xfId="0" applyFont="1" applyBorder="1" applyAlignment="1"/>
    <xf numFmtId="0" fontId="7" fillId="0" borderId="1" xfId="0" applyFont="1" applyBorder="1" applyAlignment="1"/>
    <xf numFmtId="0" fontId="7" fillId="0" borderId="11" xfId="0" applyFont="1" applyBorder="1" applyAlignment="1"/>
    <xf numFmtId="0" fontId="7" fillId="0" borderId="9" xfId="0" applyFont="1" applyBorder="1" applyAlignment="1"/>
    <xf numFmtId="0" fontId="4" fillId="0" borderId="0" xfId="1" applyFont="1" applyAlignment="1"/>
    <xf numFmtId="0" fontId="3" fillId="5" borderId="1" xfId="0" applyFont="1" applyFill="1" applyBorder="1" applyAlignment="1"/>
    <xf numFmtId="0" fontId="4" fillId="2" borderId="0" xfId="1" applyFont="1" applyFill="1" applyAlignment="1"/>
    <xf numFmtId="0" fontId="4" fillId="0" borderId="0" xfId="1" applyFont="1" applyBorder="1" applyAlignment="1"/>
    <xf numFmtId="0" fontId="7" fillId="0" borderId="0" xfId="0" applyFont="1" applyBorder="1" applyAlignment="1">
      <alignment wrapText="1"/>
    </xf>
    <xf numFmtId="0" fontId="19" fillId="9" borderId="0" xfId="0" applyFont="1" applyFill="1" applyBorder="1" applyAlignment="1">
      <alignment horizontal="left" vertical="center"/>
    </xf>
    <xf numFmtId="0" fontId="18" fillId="9" borderId="0" xfId="0" applyFont="1" applyFill="1" applyBorder="1" applyAlignment="1">
      <alignment horizontal="left" vertical="center"/>
    </xf>
    <xf numFmtId="0" fontId="18" fillId="9" borderId="0" xfId="0" applyFont="1" applyFill="1" applyBorder="1" applyAlignment="1">
      <alignment horizontal="left"/>
    </xf>
    <xf numFmtId="0" fontId="19" fillId="10" borderId="0" xfId="0" applyFont="1" applyFill="1" applyBorder="1" applyAlignment="1">
      <alignment horizontal="left" vertical="center"/>
    </xf>
    <xf numFmtId="0" fontId="18" fillId="10" borderId="0" xfId="0" applyFont="1" applyFill="1" applyBorder="1" applyAlignment="1">
      <alignment horizontal="left"/>
    </xf>
    <xf numFmtId="0" fontId="19" fillId="2" borderId="0" xfId="0" applyFont="1" applyFill="1" applyBorder="1" applyAlignment="1">
      <alignment horizontal="left" vertical="center"/>
    </xf>
    <xf numFmtId="0" fontId="18" fillId="2" borderId="0" xfId="0" applyFont="1" applyFill="1" applyBorder="1" applyAlignment="1">
      <alignment horizontal="left"/>
    </xf>
    <xf numFmtId="0" fontId="20" fillId="0" borderId="15" xfId="0" applyFont="1" applyBorder="1"/>
    <xf numFmtId="0" fontId="4" fillId="2" borderId="15" xfId="1" applyFill="1" applyBorder="1"/>
    <xf numFmtId="0" fontId="21" fillId="2" borderId="0" xfId="0" applyFont="1" applyFill="1" applyBorder="1"/>
    <xf numFmtId="0" fontId="22" fillId="2" borderId="0" xfId="0" applyFont="1" applyFill="1" applyBorder="1"/>
    <xf numFmtId="165" fontId="23" fillId="0" borderId="0" xfId="0" quotePrefix="1" applyNumberFormat="1" applyFont="1" applyAlignment="1">
      <alignment horizontal="left"/>
    </xf>
    <xf numFmtId="0" fontId="11" fillId="2" borderId="7" xfId="0" applyFont="1" applyFill="1" applyBorder="1" applyAlignment="1">
      <alignment horizontal="left"/>
    </xf>
    <xf numFmtId="0" fontId="11" fillId="2" borderId="12" xfId="0" applyFont="1" applyFill="1" applyBorder="1" applyAlignment="1">
      <alignment horizontal="left"/>
    </xf>
    <xf numFmtId="0" fontId="13" fillId="2" borderId="12" xfId="0" applyFont="1" applyFill="1" applyBorder="1" applyAlignment="1">
      <alignment horizontal="left"/>
    </xf>
    <xf numFmtId="2" fontId="3" fillId="0" borderId="1" xfId="0" applyNumberFormat="1" applyFont="1" applyBorder="1" applyAlignment="1" applyProtection="1">
      <alignment horizontal="center"/>
      <protection locked="0"/>
    </xf>
    <xf numFmtId="2" fontId="17" fillId="2" borderId="3" xfId="0" applyNumberFormat="1" applyFont="1" applyFill="1" applyBorder="1" applyAlignment="1" applyProtection="1">
      <alignment horizontal="center" wrapText="1"/>
      <protection locked="0"/>
    </xf>
    <xf numFmtId="0" fontId="2" fillId="2" borderId="1" xfId="0" applyFont="1" applyFill="1" applyBorder="1" applyAlignment="1" applyProtection="1">
      <alignment vertical="top"/>
    </xf>
    <xf numFmtId="10" fontId="3" fillId="2" borderId="1" xfId="0" applyNumberFormat="1" applyFont="1" applyFill="1" applyBorder="1" applyAlignment="1" applyProtection="1">
      <alignment horizontal="center"/>
    </xf>
    <xf numFmtId="0" fontId="7" fillId="2" borderId="1" xfId="0" applyFont="1" applyFill="1" applyBorder="1" applyAlignment="1" applyProtection="1">
      <alignment vertical="top" wrapText="1"/>
    </xf>
    <xf numFmtId="0" fontId="4" fillId="2" borderId="1" xfId="2" applyFont="1" applyFill="1" applyBorder="1" applyAlignment="1" applyProtection="1">
      <alignment vertical="top" wrapText="1"/>
    </xf>
    <xf numFmtId="0" fontId="7" fillId="2" borderId="1" xfId="0" applyFont="1" applyFill="1" applyBorder="1" applyAlignment="1" applyProtection="1">
      <alignment horizontal="left" vertical="top" wrapText="1"/>
    </xf>
    <xf numFmtId="0" fontId="2" fillId="2" borderId="9" xfId="0" applyFont="1" applyFill="1" applyBorder="1" applyAlignment="1" applyProtection="1">
      <alignment vertical="top"/>
    </xf>
    <xf numFmtId="0" fontId="7" fillId="2" borderId="9" xfId="0" applyFont="1" applyFill="1" applyBorder="1" applyAlignment="1" applyProtection="1">
      <alignment vertical="top" wrapText="1"/>
    </xf>
    <xf numFmtId="0" fontId="4" fillId="2" borderId="9" xfId="2" applyFont="1" applyFill="1" applyBorder="1" applyAlignment="1" applyProtection="1">
      <alignment vertical="top" wrapText="1"/>
    </xf>
    <xf numFmtId="2" fontId="17" fillId="2" borderId="11" xfId="0" applyNumberFormat="1" applyFont="1" applyFill="1" applyBorder="1" applyAlignment="1" applyProtection="1">
      <alignment horizontal="center" wrapText="1"/>
      <protection locked="0"/>
    </xf>
    <xf numFmtId="0" fontId="7" fillId="2" borderId="9" xfId="0" applyFont="1" applyFill="1" applyBorder="1" applyAlignment="1" applyProtection="1">
      <alignment horizontal="left" vertical="top" wrapText="1"/>
    </xf>
    <xf numFmtId="0" fontId="2" fillId="2" borderId="1" xfId="0" applyFont="1" applyFill="1" applyBorder="1" applyAlignment="1" applyProtection="1">
      <alignment horizontal="left" vertical="top"/>
    </xf>
    <xf numFmtId="0" fontId="4" fillId="2" borderId="1" xfId="2" applyFont="1" applyFill="1" applyBorder="1" applyAlignment="1" applyProtection="1">
      <alignment horizontal="left" vertical="top" wrapText="1"/>
    </xf>
    <xf numFmtId="0" fontId="7" fillId="0" borderId="1" xfId="0" applyFont="1" applyBorder="1" applyAlignment="1" applyProtection="1">
      <alignment vertical="top" wrapText="1"/>
    </xf>
    <xf numFmtId="0" fontId="2" fillId="2" borderId="1" xfId="0" applyFont="1" applyFill="1" applyBorder="1" applyAlignment="1" applyProtection="1">
      <alignment vertical="top" wrapText="1"/>
    </xf>
    <xf numFmtId="0" fontId="7" fillId="2" borderId="11" xfId="0" applyFont="1" applyFill="1" applyBorder="1" applyAlignment="1" applyProtection="1">
      <alignment vertical="top" wrapText="1"/>
    </xf>
    <xf numFmtId="0" fontId="2" fillId="0" borderId="1" xfId="0" applyFont="1" applyBorder="1" applyAlignment="1" applyProtection="1">
      <alignment vertical="top" wrapText="1"/>
    </xf>
    <xf numFmtId="0" fontId="2" fillId="0" borderId="1" xfId="0" applyFont="1" applyBorder="1" applyAlignment="1" applyProtection="1">
      <alignment vertical="top"/>
    </xf>
    <xf numFmtId="0" fontId="18" fillId="2" borderId="0" xfId="0" applyFont="1" applyFill="1" applyBorder="1" applyAlignment="1">
      <alignment horizontal="left"/>
    </xf>
    <xf numFmtId="0" fontId="18" fillId="2" borderId="0" xfId="0" applyFont="1" applyFill="1" applyBorder="1" applyAlignment="1">
      <alignment horizontal="left"/>
    </xf>
    <xf numFmtId="0" fontId="4" fillId="2" borderId="13" xfId="1" applyFill="1" applyBorder="1" applyAlignment="1">
      <alignment horizontal="left" vertical="center"/>
    </xf>
    <xf numFmtId="0" fontId="4" fillId="2" borderId="0" xfId="1" applyFill="1" applyBorder="1" applyAlignment="1">
      <alignment horizontal="left" vertical="center"/>
    </xf>
    <xf numFmtId="0" fontId="4" fillId="2" borderId="14" xfId="1" applyFill="1" applyBorder="1" applyAlignment="1">
      <alignment horizontal="left" vertical="center"/>
    </xf>
    <xf numFmtId="0" fontId="1" fillId="2" borderId="13" xfId="1" applyFont="1" applyFill="1" applyBorder="1" applyAlignment="1">
      <alignment horizontal="left" wrapText="1"/>
    </xf>
    <xf numFmtId="0" fontId="1" fillId="2" borderId="0" xfId="1" applyFont="1" applyFill="1" applyBorder="1" applyAlignment="1">
      <alignment horizontal="left" wrapText="1"/>
    </xf>
    <xf numFmtId="0" fontId="1" fillId="2" borderId="14" xfId="1" applyFont="1" applyFill="1" applyBorder="1" applyAlignment="1">
      <alignment horizontal="left" wrapText="1"/>
    </xf>
    <xf numFmtId="0" fontId="14" fillId="9" borderId="13" xfId="1" applyFont="1" applyFill="1" applyBorder="1" applyAlignment="1">
      <alignment horizontal="left" vertical="center" wrapText="1"/>
    </xf>
    <xf numFmtId="0" fontId="14" fillId="9" borderId="0" xfId="1" applyFont="1" applyFill="1" applyBorder="1" applyAlignment="1">
      <alignment horizontal="left" vertical="center" wrapText="1"/>
    </xf>
    <xf numFmtId="0" fontId="14" fillId="9" borderId="14" xfId="1" applyFont="1" applyFill="1" applyBorder="1" applyAlignment="1">
      <alignment horizontal="left" vertical="center" wrapText="1"/>
    </xf>
    <xf numFmtId="0" fontId="4" fillId="2" borderId="13" xfId="1" applyFill="1" applyBorder="1" applyAlignment="1">
      <alignment horizontal="left" vertical="center" wrapText="1"/>
    </xf>
    <xf numFmtId="0" fontId="4" fillId="2" borderId="0" xfId="1" applyFill="1" applyBorder="1" applyAlignment="1">
      <alignment horizontal="left" vertical="center" wrapText="1"/>
    </xf>
    <xf numFmtId="0" fontId="4" fillId="2" borderId="14" xfId="1" applyFill="1" applyBorder="1" applyAlignment="1">
      <alignment horizontal="left" vertical="center" wrapText="1"/>
    </xf>
    <xf numFmtId="0" fontId="3" fillId="0" borderId="2" xfId="0" applyFont="1" applyBorder="1" applyAlignment="1" applyProtection="1">
      <alignment horizontal="left"/>
    </xf>
    <xf numFmtId="0" fontId="3" fillId="0" borderId="10" xfId="0" applyFont="1" applyBorder="1" applyAlignment="1" applyProtection="1">
      <alignment horizontal="left"/>
    </xf>
    <xf numFmtId="0" fontId="3" fillId="0" borderId="3" xfId="0" applyFont="1" applyBorder="1" applyAlignment="1" applyProtection="1">
      <alignment horizontal="left"/>
    </xf>
    <xf numFmtId="10" fontId="3" fillId="2" borderId="2" xfId="0" applyNumberFormat="1" applyFont="1" applyFill="1" applyBorder="1" applyAlignment="1" applyProtection="1">
      <alignment horizontal="center"/>
    </xf>
    <xf numFmtId="10" fontId="3" fillId="2" borderId="3" xfId="0" applyNumberFormat="1" applyFont="1" applyFill="1" applyBorder="1" applyAlignment="1" applyProtection="1">
      <alignment horizontal="center"/>
    </xf>
    <xf numFmtId="0" fontId="1" fillId="0" borderId="13" xfId="1" applyFont="1" applyBorder="1" applyAlignment="1">
      <alignment horizontal="left" vertical="center"/>
    </xf>
    <xf numFmtId="0" fontId="1" fillId="0" borderId="0" xfId="1" applyFont="1" applyBorder="1" applyAlignment="1">
      <alignment horizontal="left" vertical="center"/>
    </xf>
    <xf numFmtId="0" fontId="11" fillId="4" borderId="2" xfId="0" applyFont="1" applyFill="1" applyBorder="1" applyAlignment="1"/>
    <xf numFmtId="0" fontId="11" fillId="4" borderId="10" xfId="0" applyFont="1" applyFill="1" applyBorder="1" applyAlignment="1"/>
    <xf numFmtId="0" fontId="11" fillId="4" borderId="3" xfId="0" applyFont="1" applyFill="1" applyBorder="1" applyAlignment="1"/>
    <xf numFmtId="0" fontId="25" fillId="11" borderId="2" xfId="0" applyFont="1" applyFill="1" applyBorder="1" applyAlignment="1">
      <alignment vertical="center"/>
    </xf>
    <xf numFmtId="0" fontId="25" fillId="11" borderId="10" xfId="0" applyFont="1" applyFill="1" applyBorder="1" applyAlignment="1">
      <alignment vertical="center"/>
    </xf>
    <xf numFmtId="0" fontId="25" fillId="11" borderId="3" xfId="0" applyFont="1" applyFill="1" applyBorder="1" applyAlignment="1">
      <alignment vertical="center"/>
    </xf>
    <xf numFmtId="0" fontId="25" fillId="11" borderId="1" xfId="0" applyFont="1" applyFill="1" applyBorder="1" applyAlignment="1">
      <alignment vertical="center"/>
    </xf>
    <xf numFmtId="14" fontId="1" fillId="0" borderId="2" xfId="0" applyNumberFormat="1" applyFont="1" applyBorder="1" applyAlignment="1">
      <alignment horizontal="left" vertical="center"/>
    </xf>
    <xf numFmtId="14" fontId="1" fillId="0" borderId="10" xfId="0" applyNumberFormat="1" applyFont="1" applyBorder="1" applyAlignment="1">
      <alignment horizontal="left" vertical="center"/>
    </xf>
    <xf numFmtId="14" fontId="1" fillId="0" borderId="3" xfId="0" applyNumberFormat="1" applyFont="1" applyBorder="1" applyAlignment="1">
      <alignment horizontal="left" vertical="center"/>
    </xf>
    <xf numFmtId="0" fontId="1" fillId="0" borderId="1" xfId="0" applyFont="1" applyBorder="1" applyAlignment="1">
      <alignment vertical="center"/>
    </xf>
    <xf numFmtId="0" fontId="12" fillId="11" borderId="1" xfId="0" applyFont="1" applyFill="1" applyBorder="1" applyAlignment="1">
      <alignment horizontal="center" vertical="center" wrapText="1"/>
    </xf>
    <xf numFmtId="0" fontId="11" fillId="4" borderId="7" xfId="0" applyFont="1" applyFill="1" applyBorder="1" applyAlignment="1">
      <alignment horizontal="center"/>
    </xf>
    <xf numFmtId="0" fontId="11" fillId="4" borderId="12" xfId="0" applyFont="1" applyFill="1" applyBorder="1" applyAlignment="1">
      <alignment horizontal="center"/>
    </xf>
    <xf numFmtId="9" fontId="12" fillId="11" borderId="2" xfId="0" applyNumberFormat="1" applyFont="1" applyFill="1" applyBorder="1" applyAlignment="1">
      <alignment horizontal="center" vertical="center"/>
    </xf>
    <xf numFmtId="9" fontId="12" fillId="11" borderId="10" xfId="0" applyNumberFormat="1" applyFont="1" applyFill="1" applyBorder="1" applyAlignment="1">
      <alignment horizontal="center" vertical="center"/>
    </xf>
    <xf numFmtId="9" fontId="12" fillId="11" borderId="3" xfId="0" applyNumberFormat="1" applyFont="1" applyFill="1" applyBorder="1" applyAlignment="1">
      <alignment horizontal="center" vertical="center"/>
    </xf>
    <xf numFmtId="0" fontId="11" fillId="4" borderId="7" xfId="0" applyFont="1" applyFill="1" applyBorder="1" applyAlignment="1">
      <alignment horizontal="left"/>
    </xf>
    <xf numFmtId="0" fontId="11" fillId="4" borderId="12" xfId="0" applyFont="1" applyFill="1" applyBorder="1" applyAlignment="1">
      <alignment horizontal="left"/>
    </xf>
    <xf numFmtId="0" fontId="12" fillId="3" borderId="2" xfId="0" applyFont="1" applyFill="1" applyBorder="1" applyAlignment="1">
      <alignment horizontal="center"/>
    </xf>
    <xf numFmtId="0" fontId="12" fillId="3" borderId="10" xfId="0" applyFont="1" applyFill="1" applyBorder="1" applyAlignment="1">
      <alignment horizontal="center"/>
    </xf>
    <xf numFmtId="0" fontId="12" fillId="3" borderId="3" xfId="0" applyFont="1" applyFill="1" applyBorder="1" applyAlignment="1">
      <alignment horizontal="center"/>
    </xf>
    <xf numFmtId="0" fontId="3" fillId="5" borderId="1" xfId="0" applyFont="1" applyFill="1" applyBorder="1" applyAlignment="1">
      <alignment horizontal="center" vertical="center" wrapText="1"/>
    </xf>
    <xf numFmtId="0" fontId="13" fillId="5" borderId="1" xfId="0" applyFont="1" applyFill="1" applyBorder="1" applyAlignment="1">
      <alignment horizontal="center" vertical="center" wrapText="1"/>
    </xf>
    <xf numFmtId="0" fontId="3" fillId="5" borderId="5" xfId="0" applyFont="1" applyFill="1" applyBorder="1" applyAlignment="1">
      <alignment horizontal="center"/>
    </xf>
    <xf numFmtId="0" fontId="3" fillId="5" borderId="6" xfId="0" applyFont="1" applyFill="1" applyBorder="1" applyAlignment="1">
      <alignment horizontal="center"/>
    </xf>
    <xf numFmtId="0" fontId="7" fillId="2" borderId="2" xfId="0" applyFont="1" applyFill="1" applyBorder="1" applyAlignment="1" applyProtection="1">
      <alignment horizontal="left" vertical="top" wrapText="1"/>
    </xf>
    <xf numFmtId="0" fontId="7" fillId="2" borderId="3" xfId="0" applyFont="1" applyFill="1" applyBorder="1" applyAlignment="1" applyProtection="1">
      <alignment horizontal="left" vertical="top" wrapText="1"/>
    </xf>
    <xf numFmtId="0" fontId="7" fillId="2" borderId="7" xfId="0" applyFont="1" applyFill="1" applyBorder="1" applyAlignment="1" applyProtection="1">
      <alignment horizontal="left" vertical="top" wrapText="1"/>
    </xf>
    <xf numFmtId="0" fontId="7" fillId="2" borderId="11" xfId="0" applyFont="1" applyFill="1" applyBorder="1" applyAlignment="1" applyProtection="1">
      <alignment horizontal="left" vertical="top" wrapText="1"/>
    </xf>
    <xf numFmtId="0" fontId="7" fillId="2" borderId="1" xfId="0" applyFont="1" applyFill="1" applyBorder="1" applyAlignment="1" applyProtection="1">
      <alignment horizontal="left" vertical="top" wrapText="1"/>
    </xf>
    <xf numFmtId="0" fontId="12" fillId="3" borderId="1" xfId="0" applyFont="1" applyFill="1" applyBorder="1" applyAlignment="1">
      <alignment horizontal="center" vertical="center"/>
    </xf>
    <xf numFmtId="0" fontId="11" fillId="4" borderId="2" xfId="0" applyFont="1" applyFill="1" applyBorder="1" applyAlignment="1">
      <alignment horizontal="left"/>
    </xf>
    <xf numFmtId="0" fontId="11" fillId="4" borderId="10" xfId="0" applyFont="1" applyFill="1" applyBorder="1" applyAlignment="1">
      <alignment horizontal="left"/>
    </xf>
    <xf numFmtId="0" fontId="11" fillId="4" borderId="3" xfId="0" applyFont="1" applyFill="1" applyBorder="1" applyAlignment="1">
      <alignment horizontal="left"/>
    </xf>
    <xf numFmtId="0" fontId="3" fillId="5" borderId="2" xfId="0" applyFont="1" applyFill="1" applyBorder="1" applyAlignment="1">
      <alignment horizontal="center"/>
    </xf>
    <xf numFmtId="0" fontId="3" fillId="5" borderId="3" xfId="0" applyFont="1" applyFill="1" applyBorder="1" applyAlignment="1">
      <alignment horizontal="center"/>
    </xf>
    <xf numFmtId="0" fontId="12" fillId="3" borderId="1" xfId="0" applyFont="1" applyFill="1" applyBorder="1" applyAlignment="1">
      <alignment horizontal="center"/>
    </xf>
    <xf numFmtId="0" fontId="7" fillId="0" borderId="2" xfId="0" applyFont="1" applyBorder="1" applyAlignment="1" applyProtection="1">
      <alignment horizontal="left" vertical="top" wrapText="1"/>
    </xf>
    <xf numFmtId="0" fontId="7" fillId="0" borderId="3" xfId="0" applyFont="1" applyBorder="1" applyAlignment="1" applyProtection="1">
      <alignment horizontal="left" vertical="top" wrapText="1"/>
    </xf>
    <xf numFmtId="0" fontId="12" fillId="3" borderId="8"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6" xfId="0" applyFont="1" applyFill="1" applyBorder="1" applyAlignment="1">
      <alignment horizontal="center" vertical="center"/>
    </xf>
    <xf numFmtId="0" fontId="12" fillId="3" borderId="7" xfId="0" applyFont="1" applyFill="1" applyBorder="1" applyAlignment="1">
      <alignment horizontal="center" vertical="center"/>
    </xf>
    <xf numFmtId="0" fontId="12" fillId="3" borderId="11"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3" xfId="0" applyFont="1" applyFill="1" applyBorder="1" applyAlignment="1">
      <alignment horizontal="center" vertical="center" wrapText="1"/>
    </xf>
  </cellXfs>
  <cellStyles count="10">
    <cellStyle name="Comma 2" xfId="4"/>
    <cellStyle name="Currency 2" xfId="5"/>
    <cellStyle name="Currency 3" xfId="6"/>
    <cellStyle name="Normal" xfId="0" builtinId="0"/>
    <cellStyle name="Normal 2" xfId="1"/>
    <cellStyle name="Normal 3" xfId="2"/>
    <cellStyle name="Normal 4" xfId="7"/>
    <cellStyle name="Percent" xfId="3" builtinId="5"/>
    <cellStyle name="Percent 2" xfId="8"/>
    <cellStyle name="Percent 3" xfId="9"/>
  </cellStyles>
  <dxfs count="30">
    <dxf>
      <fill>
        <patternFill>
          <bgColor theme="0" tint="-0.24994659260841701"/>
        </patternFill>
      </fill>
    </dxf>
    <dxf>
      <fill>
        <patternFill>
          <bgColor theme="4"/>
        </patternFill>
      </fill>
    </dxf>
    <dxf>
      <fill>
        <patternFill>
          <bgColor rgb="FFFFFF00"/>
        </patternFill>
      </fill>
    </dxf>
    <dxf>
      <fill>
        <patternFill>
          <bgColor theme="4"/>
        </patternFill>
      </fill>
    </dxf>
    <dxf>
      <fill>
        <patternFill>
          <bgColor rgb="FFFFFF00"/>
        </patternFill>
      </fill>
    </dxf>
    <dxf>
      <fill>
        <patternFill>
          <bgColor theme="0" tint="-0.24994659260841701"/>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theme="4"/>
        </patternFill>
      </fill>
    </dxf>
    <dxf>
      <fill>
        <patternFill>
          <bgColor rgb="FFFFFF00"/>
        </patternFill>
      </fill>
    </dxf>
    <dxf>
      <fill>
        <patternFill>
          <bgColor theme="0" tint="-0.24994659260841701"/>
        </patternFill>
      </fill>
    </dxf>
    <dxf>
      <fill>
        <patternFill>
          <bgColor theme="4"/>
        </patternFill>
      </fill>
    </dxf>
    <dxf>
      <fill>
        <patternFill>
          <bgColor rgb="FFFFFF00"/>
        </patternFill>
      </fill>
    </dxf>
    <dxf>
      <fill>
        <patternFill>
          <bgColor theme="0" tint="-0.24994659260841701"/>
        </patternFill>
      </fill>
    </dxf>
    <dxf>
      <fill>
        <patternFill>
          <bgColor theme="4"/>
        </patternFill>
      </fill>
    </dxf>
    <dxf>
      <fill>
        <patternFill>
          <bgColor rgb="FFFFFF00"/>
        </patternFill>
      </fill>
    </dxf>
  </dxfs>
  <tableStyles count="0" defaultTableStyle="TableStyleMedium9" defaultPivotStyle="PivotStyleLight16"/>
  <colors>
    <mruColors>
      <color rgb="FF1E5883"/>
      <color rgb="FF99FFCC"/>
      <color rgb="FFFFFF99"/>
      <color rgb="FF66FFFF"/>
      <color rgb="FF66FFCC"/>
      <color rgb="FFCCFFCC"/>
      <color rgb="FFFFFFCC"/>
      <color rgb="FFBDE725"/>
      <color rgb="FFA7F7F5"/>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Business Need</a:t>
            </a:r>
          </a:p>
        </c:rich>
      </c:tx>
      <c:layout/>
      <c:overlay val="0"/>
    </c:title>
    <c:autoTitleDeleted val="0"/>
    <c:plotArea>
      <c:layout>
        <c:manualLayout>
          <c:layoutTarget val="inner"/>
          <c:xMode val="edge"/>
          <c:yMode val="edge"/>
          <c:x val="0.26358710076970715"/>
          <c:y val="0.21611245627632733"/>
          <c:w val="0.46928273712976887"/>
          <c:h val="0.69610272674249052"/>
        </c:manualLayout>
      </c:layout>
      <c:radarChart>
        <c:radarStyle val="marker"/>
        <c:varyColors val="0"/>
        <c:ser>
          <c:idx val="0"/>
          <c:order val="0"/>
          <c:tx>
            <c:strRef>
              <c:f>'Business Need'!$D$6</c:f>
              <c:strCache>
                <c:ptCount val="1"/>
                <c:pt idx="0">
                  <c:v>Ready</c:v>
                </c:pt>
              </c:strCache>
            </c:strRef>
          </c:tx>
          <c:marker>
            <c:symbol val="square"/>
            <c:size val="5"/>
            <c:spPr>
              <a:solidFill>
                <a:schemeClr val="accent1"/>
              </a:solidFill>
            </c:spPr>
          </c:marker>
          <c:cat>
            <c:strRef>
              <c:f>'Business Need'!$A$7:$A$10</c:f>
              <c:strCache>
                <c:ptCount val="4"/>
                <c:pt idx="0">
                  <c:v>Vision</c:v>
                </c:pt>
                <c:pt idx="1">
                  <c:v>Value</c:v>
                </c:pt>
                <c:pt idx="2">
                  <c:v>Strategic Priority Alignment</c:v>
                </c:pt>
                <c:pt idx="3">
                  <c:v>Policies and Standards</c:v>
                </c:pt>
              </c:strCache>
            </c:strRef>
          </c:cat>
          <c:val>
            <c:numRef>
              <c:f>'Business Need'!$D$7:$D$10</c:f>
              <c:numCache>
                <c:formatCode>0.00</c:formatCode>
                <c:ptCount val="4"/>
                <c:pt idx="0">
                  <c:v>3</c:v>
                </c:pt>
                <c:pt idx="1">
                  <c:v>3</c:v>
                </c:pt>
                <c:pt idx="2">
                  <c:v>3</c:v>
                </c:pt>
                <c:pt idx="3">
                  <c:v>5</c:v>
                </c:pt>
              </c:numCache>
            </c:numRef>
          </c:val>
        </c:ser>
        <c:ser>
          <c:idx val="1"/>
          <c:order val="1"/>
          <c:tx>
            <c:strRef>
              <c:f>'Business Need'!$E$6</c:f>
              <c:strCache>
                <c:ptCount val="1"/>
                <c:pt idx="0">
                  <c:v>Current</c:v>
                </c:pt>
              </c:strCache>
            </c:strRef>
          </c:tx>
          <c:spPr>
            <a:ln>
              <a:solidFill>
                <a:srgbClr val="FFFF00"/>
              </a:solidFill>
            </a:ln>
          </c:spPr>
          <c:marker>
            <c:symbol val="square"/>
            <c:size val="5"/>
            <c:spPr>
              <a:solidFill>
                <a:srgbClr val="C00000"/>
              </a:solidFill>
              <a:ln>
                <a:solidFill>
                  <a:srgbClr val="FFFF00"/>
                </a:solidFill>
              </a:ln>
            </c:spPr>
          </c:marker>
          <c:cat>
            <c:strRef>
              <c:f>'Business Need'!$A$7:$A$10</c:f>
              <c:strCache>
                <c:ptCount val="4"/>
                <c:pt idx="0">
                  <c:v>Vision</c:v>
                </c:pt>
                <c:pt idx="1">
                  <c:v>Value</c:v>
                </c:pt>
                <c:pt idx="2">
                  <c:v>Strategic Priority Alignment</c:v>
                </c:pt>
                <c:pt idx="3">
                  <c:v>Policies and Standards</c:v>
                </c:pt>
              </c:strCache>
            </c:strRef>
          </c:cat>
          <c:val>
            <c:numRef>
              <c:f>'Business Need'!$E$7:$E$10</c:f>
              <c:numCache>
                <c:formatCode>0.00</c:formatCode>
                <c:ptCount val="4"/>
              </c:numCache>
            </c:numRef>
          </c:val>
        </c:ser>
        <c:dLbls>
          <c:showLegendKey val="0"/>
          <c:showVal val="0"/>
          <c:showCatName val="0"/>
          <c:showSerName val="0"/>
          <c:showPercent val="0"/>
          <c:showBubbleSize val="0"/>
        </c:dLbls>
        <c:axId val="81589760"/>
        <c:axId val="50453824"/>
      </c:radarChart>
      <c:catAx>
        <c:axId val="81589760"/>
        <c:scaling>
          <c:orientation val="minMax"/>
        </c:scaling>
        <c:delete val="0"/>
        <c:axPos val="b"/>
        <c:majorGridlines/>
        <c:majorTickMark val="none"/>
        <c:minorTickMark val="none"/>
        <c:tickLblPos val="nextTo"/>
        <c:spPr>
          <a:ln w="9525">
            <a:noFill/>
          </a:ln>
        </c:spPr>
        <c:crossAx val="50453824"/>
        <c:crosses val="autoZero"/>
        <c:auto val="1"/>
        <c:lblAlgn val="ctr"/>
        <c:lblOffset val="100"/>
        <c:noMultiLvlLbl val="0"/>
      </c:catAx>
      <c:valAx>
        <c:axId val="50453824"/>
        <c:scaling>
          <c:orientation val="minMax"/>
        </c:scaling>
        <c:delete val="0"/>
        <c:axPos val="l"/>
        <c:majorGridlines/>
        <c:numFmt formatCode="0.00" sourceLinked="1"/>
        <c:majorTickMark val="none"/>
        <c:minorTickMark val="none"/>
        <c:tickLblPos val="nextTo"/>
        <c:crossAx val="81589760"/>
        <c:crosses val="autoZero"/>
        <c:crossBetween val="between"/>
      </c:valAx>
    </c:plotArea>
    <c:legend>
      <c:legendPos val="r"/>
      <c:layout/>
      <c:overlay val="0"/>
    </c:legend>
    <c:plotVisOnly val="1"/>
    <c:dispBlanksAs val="gap"/>
    <c:showDLblsOverMax val="0"/>
  </c:chart>
  <c:printSettings>
    <c:headerFooter/>
    <c:pageMargins b="0.75000000000000588" l="0.70000000000000062" r="0.70000000000000062" t="0.750000000000005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Business Need</a:t>
            </a:r>
          </a:p>
        </c:rich>
      </c:tx>
      <c:layout/>
      <c:overlay val="0"/>
    </c:title>
    <c:autoTitleDeleted val="0"/>
    <c:view3D>
      <c:rotX val="15"/>
      <c:rotY val="20"/>
      <c:rAngAx val="1"/>
    </c:view3D>
    <c:floor>
      <c:thickness val="0"/>
    </c:floor>
    <c:sideWall>
      <c:thickness val="0"/>
    </c:sideWall>
    <c:backWall>
      <c:thickness val="0"/>
    </c:backWall>
    <c:plotArea>
      <c:layout>
        <c:manualLayout>
          <c:layoutTarget val="inner"/>
          <c:xMode val="edge"/>
          <c:yMode val="edge"/>
          <c:x val="0.1092978336156734"/>
          <c:y val="0.17393165244590114"/>
          <c:w val="0.69642797420405556"/>
          <c:h val="0.62161350221407796"/>
        </c:manualLayout>
      </c:layout>
      <c:bar3DChart>
        <c:barDir val="col"/>
        <c:grouping val="clustered"/>
        <c:varyColors val="0"/>
        <c:ser>
          <c:idx val="0"/>
          <c:order val="0"/>
          <c:tx>
            <c:strRef>
              <c:f>'Business Need'!$D$6</c:f>
              <c:strCache>
                <c:ptCount val="1"/>
                <c:pt idx="0">
                  <c:v>Ready</c:v>
                </c:pt>
              </c:strCache>
            </c:strRef>
          </c:tx>
          <c:invertIfNegative val="0"/>
          <c:cat>
            <c:strRef>
              <c:f>'Business Need'!$A$7:$A$10</c:f>
              <c:strCache>
                <c:ptCount val="4"/>
                <c:pt idx="0">
                  <c:v>Vision</c:v>
                </c:pt>
                <c:pt idx="1">
                  <c:v>Value</c:v>
                </c:pt>
                <c:pt idx="2">
                  <c:v>Strategic Priority Alignment</c:v>
                </c:pt>
                <c:pt idx="3">
                  <c:v>Policies and Standards</c:v>
                </c:pt>
              </c:strCache>
            </c:strRef>
          </c:cat>
          <c:val>
            <c:numRef>
              <c:f>'Business Need'!$D$7:$D$10</c:f>
              <c:numCache>
                <c:formatCode>0.00</c:formatCode>
                <c:ptCount val="4"/>
                <c:pt idx="0">
                  <c:v>3</c:v>
                </c:pt>
                <c:pt idx="1">
                  <c:v>3</c:v>
                </c:pt>
                <c:pt idx="2">
                  <c:v>3</c:v>
                </c:pt>
                <c:pt idx="3">
                  <c:v>5</c:v>
                </c:pt>
              </c:numCache>
            </c:numRef>
          </c:val>
        </c:ser>
        <c:ser>
          <c:idx val="1"/>
          <c:order val="1"/>
          <c:tx>
            <c:strRef>
              <c:f>'Business Need'!$E$6</c:f>
              <c:strCache>
                <c:ptCount val="1"/>
                <c:pt idx="0">
                  <c:v>Current</c:v>
                </c:pt>
              </c:strCache>
            </c:strRef>
          </c:tx>
          <c:spPr>
            <a:solidFill>
              <a:srgbClr val="FFFF00"/>
            </a:solidFill>
          </c:spPr>
          <c:invertIfNegative val="0"/>
          <c:cat>
            <c:strRef>
              <c:f>'Business Need'!$A$7:$A$10</c:f>
              <c:strCache>
                <c:ptCount val="4"/>
                <c:pt idx="0">
                  <c:v>Vision</c:v>
                </c:pt>
                <c:pt idx="1">
                  <c:v>Value</c:v>
                </c:pt>
                <c:pt idx="2">
                  <c:v>Strategic Priority Alignment</c:v>
                </c:pt>
                <c:pt idx="3">
                  <c:v>Policies and Standards</c:v>
                </c:pt>
              </c:strCache>
            </c:strRef>
          </c:cat>
          <c:val>
            <c:numRef>
              <c:f>'Business Need'!$E$7:$E$10</c:f>
              <c:numCache>
                <c:formatCode>0.00</c:formatCode>
                <c:ptCount val="4"/>
              </c:numCache>
            </c:numRef>
          </c:val>
        </c:ser>
        <c:dLbls>
          <c:showLegendKey val="0"/>
          <c:showVal val="0"/>
          <c:showCatName val="0"/>
          <c:showSerName val="0"/>
          <c:showPercent val="0"/>
          <c:showBubbleSize val="0"/>
        </c:dLbls>
        <c:gapWidth val="150"/>
        <c:shape val="cylinder"/>
        <c:axId val="116088832"/>
        <c:axId val="101545600"/>
        <c:axId val="0"/>
      </c:bar3DChart>
      <c:catAx>
        <c:axId val="116088832"/>
        <c:scaling>
          <c:orientation val="minMax"/>
        </c:scaling>
        <c:delete val="0"/>
        <c:axPos val="b"/>
        <c:majorTickMark val="out"/>
        <c:minorTickMark val="none"/>
        <c:tickLblPos val="nextTo"/>
        <c:crossAx val="101545600"/>
        <c:crosses val="autoZero"/>
        <c:auto val="1"/>
        <c:lblAlgn val="ctr"/>
        <c:lblOffset val="100"/>
        <c:noMultiLvlLbl val="0"/>
      </c:catAx>
      <c:valAx>
        <c:axId val="101545600"/>
        <c:scaling>
          <c:orientation val="minMax"/>
        </c:scaling>
        <c:delete val="0"/>
        <c:axPos val="l"/>
        <c:majorGridlines/>
        <c:numFmt formatCode="0.00" sourceLinked="1"/>
        <c:majorTickMark val="out"/>
        <c:minorTickMark val="none"/>
        <c:tickLblPos val="nextTo"/>
        <c:crossAx val="116088832"/>
        <c:crosses val="autoZero"/>
        <c:crossBetween val="between"/>
      </c:valAx>
    </c:plotArea>
    <c:legend>
      <c:legendPos val="r"/>
      <c:layout/>
      <c:overlay val="0"/>
    </c:legend>
    <c:plotVisOnly val="1"/>
    <c:dispBlanksAs val="gap"/>
    <c:showDLblsOverMax val="0"/>
  </c:chart>
  <c:printSettings>
    <c:headerFooter/>
    <c:pageMargins b="0.75000000000000522" l="0.70000000000000062" r="0.70000000000000062" t="0.750000000000005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Stakeholder Community</a:t>
            </a:r>
          </a:p>
        </c:rich>
      </c:tx>
      <c:layout/>
      <c:overlay val="0"/>
    </c:title>
    <c:autoTitleDeleted val="0"/>
    <c:plotArea>
      <c:layout>
        <c:manualLayout>
          <c:layoutTarget val="inner"/>
          <c:xMode val="edge"/>
          <c:yMode val="edge"/>
          <c:x val="0.23718285214348206"/>
          <c:y val="0.23847279506728325"/>
          <c:w val="0.45719523823567004"/>
          <c:h val="0.60551155063950346"/>
        </c:manualLayout>
      </c:layout>
      <c:radarChart>
        <c:radarStyle val="marker"/>
        <c:varyColors val="0"/>
        <c:ser>
          <c:idx val="0"/>
          <c:order val="0"/>
          <c:tx>
            <c:strRef>
              <c:f>'Stakeholder Community'!$D$6</c:f>
              <c:strCache>
                <c:ptCount val="1"/>
                <c:pt idx="0">
                  <c:v>Ready</c:v>
                </c:pt>
              </c:strCache>
            </c:strRef>
          </c:tx>
          <c:marker>
            <c:symbol val="square"/>
            <c:size val="5"/>
            <c:spPr>
              <a:solidFill>
                <a:schemeClr val="accent1"/>
              </a:solidFill>
            </c:spPr>
          </c:marker>
          <c:cat>
            <c:strRef>
              <c:f>'Stakeholder Community'!$A$7:$A$12</c:f>
              <c:strCache>
                <c:ptCount val="6"/>
                <c:pt idx="0">
                  <c:v>Executive Support</c:v>
                </c:pt>
                <c:pt idx="1">
                  <c:v>Program Champion</c:v>
                </c:pt>
                <c:pt idx="2">
                  <c:v>Personnel Skills and Training</c:v>
                </c:pt>
                <c:pt idx="3">
                  <c:v>Community Engagement  and Ownership</c:v>
                </c:pt>
                <c:pt idx="4">
                  <c:v>Communication</c:v>
                </c:pt>
                <c:pt idx="5">
                  <c:v>Memorandum of Understanding/MOA</c:v>
                </c:pt>
              </c:strCache>
            </c:strRef>
          </c:cat>
          <c:val>
            <c:numRef>
              <c:f>'Stakeholder Community'!$D$7:$D$12</c:f>
              <c:numCache>
                <c:formatCode>0.00</c:formatCode>
                <c:ptCount val="6"/>
                <c:pt idx="0">
                  <c:v>3</c:v>
                </c:pt>
                <c:pt idx="1">
                  <c:v>4</c:v>
                </c:pt>
                <c:pt idx="2">
                  <c:v>3</c:v>
                </c:pt>
                <c:pt idx="3">
                  <c:v>4</c:v>
                </c:pt>
                <c:pt idx="4">
                  <c:v>4</c:v>
                </c:pt>
                <c:pt idx="5">
                  <c:v>4</c:v>
                </c:pt>
              </c:numCache>
            </c:numRef>
          </c:val>
        </c:ser>
        <c:ser>
          <c:idx val="1"/>
          <c:order val="1"/>
          <c:tx>
            <c:strRef>
              <c:f>'Stakeholder Community'!$E$6</c:f>
              <c:strCache>
                <c:ptCount val="1"/>
                <c:pt idx="0">
                  <c:v>Current</c:v>
                </c:pt>
              </c:strCache>
            </c:strRef>
          </c:tx>
          <c:spPr>
            <a:ln>
              <a:solidFill>
                <a:srgbClr val="FFFF00"/>
              </a:solidFill>
            </a:ln>
          </c:spPr>
          <c:marker>
            <c:symbol val="square"/>
            <c:size val="5"/>
            <c:spPr>
              <a:solidFill>
                <a:srgbClr val="C00000"/>
              </a:solidFill>
              <a:ln>
                <a:solidFill>
                  <a:srgbClr val="FFFF00"/>
                </a:solidFill>
              </a:ln>
            </c:spPr>
          </c:marker>
          <c:cat>
            <c:strRef>
              <c:f>'Stakeholder Community'!$A$7:$A$12</c:f>
              <c:strCache>
                <c:ptCount val="6"/>
                <c:pt idx="0">
                  <c:v>Executive Support</c:v>
                </c:pt>
                <c:pt idx="1">
                  <c:v>Program Champion</c:v>
                </c:pt>
                <c:pt idx="2">
                  <c:v>Personnel Skills and Training</c:v>
                </c:pt>
                <c:pt idx="3">
                  <c:v>Community Engagement  and Ownership</c:v>
                </c:pt>
                <c:pt idx="4">
                  <c:v>Communication</c:v>
                </c:pt>
                <c:pt idx="5">
                  <c:v>Memorandum of Understanding/MOA</c:v>
                </c:pt>
              </c:strCache>
            </c:strRef>
          </c:cat>
          <c:val>
            <c:numRef>
              <c:f>'Stakeholder Community'!$E$7:$E$12</c:f>
              <c:numCache>
                <c:formatCode>0.00</c:formatCode>
                <c:ptCount val="6"/>
              </c:numCache>
            </c:numRef>
          </c:val>
        </c:ser>
        <c:dLbls>
          <c:showLegendKey val="0"/>
          <c:showVal val="0"/>
          <c:showCatName val="0"/>
          <c:showSerName val="0"/>
          <c:showPercent val="0"/>
          <c:showBubbleSize val="0"/>
        </c:dLbls>
        <c:axId val="122908672"/>
        <c:axId val="101564992"/>
      </c:radarChart>
      <c:catAx>
        <c:axId val="122908672"/>
        <c:scaling>
          <c:orientation val="minMax"/>
        </c:scaling>
        <c:delete val="0"/>
        <c:axPos val="b"/>
        <c:majorGridlines/>
        <c:majorTickMark val="out"/>
        <c:minorTickMark val="none"/>
        <c:tickLblPos val="nextTo"/>
        <c:crossAx val="101564992"/>
        <c:crosses val="autoZero"/>
        <c:auto val="1"/>
        <c:lblAlgn val="ctr"/>
        <c:lblOffset val="100"/>
        <c:noMultiLvlLbl val="0"/>
      </c:catAx>
      <c:valAx>
        <c:axId val="101564992"/>
        <c:scaling>
          <c:orientation val="minMax"/>
          <c:max val="5"/>
        </c:scaling>
        <c:delete val="0"/>
        <c:axPos val="l"/>
        <c:majorGridlines/>
        <c:numFmt formatCode="0.00" sourceLinked="1"/>
        <c:majorTickMark val="cross"/>
        <c:minorTickMark val="none"/>
        <c:tickLblPos val="nextTo"/>
        <c:crossAx val="122908672"/>
        <c:crosses val="autoZero"/>
        <c:crossBetween val="between"/>
      </c:valAx>
    </c:plotArea>
    <c:legend>
      <c:legendPos val="r"/>
      <c:layout/>
      <c:overlay val="0"/>
    </c:legend>
    <c:plotVisOnly val="1"/>
    <c:dispBlanksAs val="gap"/>
    <c:showDLblsOverMax val="0"/>
  </c:chart>
  <c:printSettings>
    <c:headerFooter/>
    <c:pageMargins b="0.75000000000000588" l="0.70000000000000062" r="0.70000000000000062" t="0.750000000000005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Stakeholder</a:t>
            </a:r>
            <a:r>
              <a:rPr lang="en-US" baseline="0"/>
              <a:t> Community</a:t>
            </a:r>
            <a:endParaRPr lang="en-US"/>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'Stakeholder Community'!$D$6</c:f>
              <c:strCache>
                <c:ptCount val="1"/>
                <c:pt idx="0">
                  <c:v>Ready</c:v>
                </c:pt>
              </c:strCache>
            </c:strRef>
          </c:tx>
          <c:invertIfNegative val="0"/>
          <c:cat>
            <c:strRef>
              <c:f>'Stakeholder Community'!$A$7:$A$12</c:f>
              <c:strCache>
                <c:ptCount val="6"/>
                <c:pt idx="0">
                  <c:v>Executive Support</c:v>
                </c:pt>
                <c:pt idx="1">
                  <c:v>Program Champion</c:v>
                </c:pt>
                <c:pt idx="2">
                  <c:v>Personnel Skills and Training</c:v>
                </c:pt>
                <c:pt idx="3">
                  <c:v>Community Engagement  and Ownership</c:v>
                </c:pt>
                <c:pt idx="4">
                  <c:v>Communication</c:v>
                </c:pt>
                <c:pt idx="5">
                  <c:v>Memorandum of Understanding/MOA</c:v>
                </c:pt>
              </c:strCache>
            </c:strRef>
          </c:cat>
          <c:val>
            <c:numRef>
              <c:f>'Stakeholder Community'!$D$7:$D$12</c:f>
              <c:numCache>
                <c:formatCode>0.00</c:formatCode>
                <c:ptCount val="6"/>
                <c:pt idx="0">
                  <c:v>3</c:v>
                </c:pt>
                <c:pt idx="1">
                  <c:v>4</c:v>
                </c:pt>
                <c:pt idx="2">
                  <c:v>3</c:v>
                </c:pt>
                <c:pt idx="3">
                  <c:v>4</c:v>
                </c:pt>
                <c:pt idx="4">
                  <c:v>4</c:v>
                </c:pt>
                <c:pt idx="5">
                  <c:v>4</c:v>
                </c:pt>
              </c:numCache>
            </c:numRef>
          </c:val>
        </c:ser>
        <c:ser>
          <c:idx val="1"/>
          <c:order val="1"/>
          <c:tx>
            <c:strRef>
              <c:f>'Stakeholder Community'!$E$6</c:f>
              <c:strCache>
                <c:ptCount val="1"/>
                <c:pt idx="0">
                  <c:v>Current</c:v>
                </c:pt>
              </c:strCache>
            </c:strRef>
          </c:tx>
          <c:spPr>
            <a:solidFill>
              <a:srgbClr val="FFFF00"/>
            </a:solidFill>
          </c:spPr>
          <c:invertIfNegative val="0"/>
          <c:cat>
            <c:strRef>
              <c:f>'Stakeholder Community'!$A$7:$A$12</c:f>
              <c:strCache>
                <c:ptCount val="6"/>
                <c:pt idx="0">
                  <c:v>Executive Support</c:v>
                </c:pt>
                <c:pt idx="1">
                  <c:v>Program Champion</c:v>
                </c:pt>
                <c:pt idx="2">
                  <c:v>Personnel Skills and Training</c:v>
                </c:pt>
                <c:pt idx="3">
                  <c:v>Community Engagement  and Ownership</c:v>
                </c:pt>
                <c:pt idx="4">
                  <c:v>Communication</c:v>
                </c:pt>
                <c:pt idx="5">
                  <c:v>Memorandum of Understanding/MOA</c:v>
                </c:pt>
              </c:strCache>
            </c:strRef>
          </c:cat>
          <c:val>
            <c:numRef>
              <c:f>'Stakeholder Community'!$E$7:$E$12</c:f>
              <c:numCache>
                <c:formatCode>0.00</c:formatCode>
                <c:ptCount val="6"/>
              </c:numCache>
            </c:numRef>
          </c:val>
        </c:ser>
        <c:dLbls>
          <c:showLegendKey val="0"/>
          <c:showVal val="0"/>
          <c:showCatName val="0"/>
          <c:showSerName val="0"/>
          <c:showPercent val="0"/>
          <c:showBubbleSize val="0"/>
        </c:dLbls>
        <c:gapWidth val="150"/>
        <c:shape val="cylinder"/>
        <c:axId val="122958336"/>
        <c:axId val="116018560"/>
        <c:axId val="0"/>
      </c:bar3DChart>
      <c:catAx>
        <c:axId val="122958336"/>
        <c:scaling>
          <c:orientation val="minMax"/>
        </c:scaling>
        <c:delete val="0"/>
        <c:axPos val="b"/>
        <c:numFmt formatCode="0.00" sourceLinked="1"/>
        <c:majorTickMark val="out"/>
        <c:minorTickMark val="none"/>
        <c:tickLblPos val="nextTo"/>
        <c:crossAx val="116018560"/>
        <c:crosses val="autoZero"/>
        <c:auto val="1"/>
        <c:lblAlgn val="ctr"/>
        <c:lblOffset val="100"/>
        <c:noMultiLvlLbl val="0"/>
      </c:catAx>
      <c:valAx>
        <c:axId val="116018560"/>
        <c:scaling>
          <c:orientation val="minMax"/>
          <c:max val="5"/>
        </c:scaling>
        <c:delete val="0"/>
        <c:axPos val="l"/>
        <c:majorGridlines/>
        <c:numFmt formatCode="0.00" sourceLinked="1"/>
        <c:majorTickMark val="out"/>
        <c:minorTickMark val="none"/>
        <c:tickLblPos val="nextTo"/>
        <c:crossAx val="122958336"/>
        <c:crosses val="autoZero"/>
        <c:crossBetween val="between"/>
      </c:valAx>
    </c:plotArea>
    <c:legend>
      <c:legendPos val="r"/>
      <c:overlay val="0"/>
    </c:legend>
    <c:plotVisOnly val="1"/>
    <c:dispBlanksAs val="gap"/>
    <c:showDLblsOverMax val="0"/>
  </c:chart>
  <c:printSettings>
    <c:headerFooter/>
    <c:pageMargins b="0.75000000000000522" l="0.70000000000000062" r="0.70000000000000062" t="0.7500000000000052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r>
              <a:rPr lang="en-US" baseline="0"/>
              <a:t> Process</a:t>
            </a:r>
          </a:p>
        </c:rich>
      </c:tx>
      <c:overlay val="0"/>
    </c:title>
    <c:autoTitleDeleted val="0"/>
    <c:plotArea>
      <c:layout>
        <c:manualLayout>
          <c:layoutTarget val="inner"/>
          <c:xMode val="edge"/>
          <c:yMode val="edge"/>
          <c:x val="0.23094070649269829"/>
          <c:y val="0.24121937882764655"/>
          <c:w val="0.43815481099623582"/>
          <c:h val="0.70227555326787938"/>
        </c:manualLayout>
      </c:layout>
      <c:radarChart>
        <c:radarStyle val="marker"/>
        <c:varyColors val="0"/>
        <c:ser>
          <c:idx val="0"/>
          <c:order val="0"/>
          <c:tx>
            <c:strRef>
              <c:f>'Planning Process'!$D$6</c:f>
              <c:strCache>
                <c:ptCount val="1"/>
                <c:pt idx="0">
                  <c:v>Ready</c:v>
                </c:pt>
              </c:strCache>
            </c:strRef>
          </c:tx>
          <c:marker>
            <c:symbol val="square"/>
            <c:size val="5"/>
            <c:spPr>
              <a:solidFill>
                <a:schemeClr val="accent1"/>
              </a:solidFill>
            </c:spPr>
          </c:marker>
          <c:dLbls>
            <c:delete val="1"/>
          </c:dLbls>
          <c:cat>
            <c:strRef>
              <c:f>'Planning Process'!$A$7:$A$11</c:f>
              <c:strCache>
                <c:ptCount val="5"/>
                <c:pt idx="0">
                  <c:v>Definition</c:v>
                </c:pt>
                <c:pt idx="1">
                  <c:v>Standards Adoption</c:v>
                </c:pt>
                <c:pt idx="2">
                  <c:v>Risk Management</c:v>
                </c:pt>
                <c:pt idx="3">
                  <c:v>Sustainability</c:v>
                </c:pt>
                <c:pt idx="4">
                  <c:v>Funding</c:v>
                </c:pt>
              </c:strCache>
            </c:strRef>
          </c:cat>
          <c:val>
            <c:numRef>
              <c:f>'Planning Process'!$D$7:$D$11</c:f>
              <c:numCache>
                <c:formatCode>0.00</c:formatCode>
                <c:ptCount val="5"/>
                <c:pt idx="0">
                  <c:v>5</c:v>
                </c:pt>
                <c:pt idx="1">
                  <c:v>3</c:v>
                </c:pt>
                <c:pt idx="2">
                  <c:v>2</c:v>
                </c:pt>
                <c:pt idx="3">
                  <c:v>2</c:v>
                </c:pt>
                <c:pt idx="4">
                  <c:v>3</c:v>
                </c:pt>
              </c:numCache>
            </c:numRef>
          </c:val>
        </c:ser>
        <c:ser>
          <c:idx val="1"/>
          <c:order val="1"/>
          <c:tx>
            <c:strRef>
              <c:f>'Planning Process'!$E$6</c:f>
              <c:strCache>
                <c:ptCount val="1"/>
                <c:pt idx="0">
                  <c:v>Current</c:v>
                </c:pt>
              </c:strCache>
            </c:strRef>
          </c:tx>
          <c:spPr>
            <a:ln>
              <a:solidFill>
                <a:srgbClr val="FFFF00"/>
              </a:solidFill>
            </a:ln>
          </c:spPr>
          <c:marker>
            <c:symbol val="square"/>
            <c:size val="5"/>
            <c:spPr>
              <a:solidFill>
                <a:srgbClr val="C00000"/>
              </a:solidFill>
              <a:ln>
                <a:solidFill>
                  <a:srgbClr val="FFFF00"/>
                </a:solidFill>
              </a:ln>
            </c:spPr>
          </c:marker>
          <c:cat>
            <c:strRef>
              <c:f>'Planning Process'!$A$7:$A$11</c:f>
              <c:strCache>
                <c:ptCount val="5"/>
                <c:pt idx="0">
                  <c:v>Definition</c:v>
                </c:pt>
                <c:pt idx="1">
                  <c:v>Standards Adoption</c:v>
                </c:pt>
                <c:pt idx="2">
                  <c:v>Risk Management</c:v>
                </c:pt>
                <c:pt idx="3">
                  <c:v>Sustainability</c:v>
                </c:pt>
                <c:pt idx="4">
                  <c:v>Funding</c:v>
                </c:pt>
              </c:strCache>
            </c:strRef>
          </c:cat>
          <c:val>
            <c:numRef>
              <c:f>'Planning Process'!$E$7:$E$11</c:f>
              <c:numCache>
                <c:formatCode>0.00</c:formatCode>
                <c:ptCount val="5"/>
              </c:numCache>
            </c:numRef>
          </c:val>
        </c:ser>
        <c:dLbls>
          <c:showLegendKey val="0"/>
          <c:showVal val="1"/>
          <c:showCatName val="0"/>
          <c:showSerName val="0"/>
          <c:showPercent val="0"/>
          <c:showBubbleSize val="0"/>
        </c:dLbls>
        <c:axId val="122958848"/>
        <c:axId val="116021440"/>
      </c:radarChart>
      <c:catAx>
        <c:axId val="122958848"/>
        <c:scaling>
          <c:orientation val="minMax"/>
        </c:scaling>
        <c:delete val="0"/>
        <c:axPos val="b"/>
        <c:majorGridlines/>
        <c:majorTickMark val="out"/>
        <c:minorTickMark val="none"/>
        <c:tickLblPos val="nextTo"/>
        <c:txPr>
          <a:bodyPr rot="0" anchor="ctr" anchorCtr="0"/>
          <a:lstStyle/>
          <a:p>
            <a:pPr>
              <a:defRPr/>
            </a:pPr>
            <a:endParaRPr lang="en-US"/>
          </a:p>
        </c:txPr>
        <c:crossAx val="116021440"/>
        <c:crosses val="autoZero"/>
        <c:auto val="1"/>
        <c:lblAlgn val="ctr"/>
        <c:lblOffset val="100"/>
        <c:noMultiLvlLbl val="0"/>
      </c:catAx>
      <c:valAx>
        <c:axId val="116021440"/>
        <c:scaling>
          <c:orientation val="minMax"/>
          <c:max val="5"/>
        </c:scaling>
        <c:delete val="0"/>
        <c:axPos val="l"/>
        <c:majorGridlines/>
        <c:numFmt formatCode="0.00" sourceLinked="1"/>
        <c:majorTickMark val="cross"/>
        <c:minorTickMark val="none"/>
        <c:tickLblPos val="nextTo"/>
        <c:crossAx val="122958848"/>
        <c:crosses val="autoZero"/>
        <c:crossBetween val="between"/>
      </c:valAx>
    </c:plotArea>
    <c:legend>
      <c:legendPos val="r"/>
      <c:overlay val="0"/>
    </c:legend>
    <c:plotVisOnly val="1"/>
    <c:dispBlanksAs val="gap"/>
    <c:showDLblsOverMax val="0"/>
  </c:chart>
  <c:printSettings>
    <c:headerFooter/>
    <c:pageMargins b="0.75000000000000588" l="0.70000000000000062" r="0.70000000000000062" t="0.75000000000000588"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t>Planning Process</a:t>
            </a:r>
            <a:endParaRPr lang="en-US"/>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'Planning Process'!$D$6</c:f>
              <c:strCache>
                <c:ptCount val="1"/>
                <c:pt idx="0">
                  <c:v>Ready</c:v>
                </c:pt>
              </c:strCache>
            </c:strRef>
          </c:tx>
          <c:invertIfNegative val="0"/>
          <c:cat>
            <c:strRef>
              <c:f>'Planning Process'!$A$7:$A$11</c:f>
              <c:strCache>
                <c:ptCount val="5"/>
                <c:pt idx="0">
                  <c:v>Definition</c:v>
                </c:pt>
                <c:pt idx="1">
                  <c:v>Standards Adoption</c:v>
                </c:pt>
                <c:pt idx="2">
                  <c:v>Risk Management</c:v>
                </c:pt>
                <c:pt idx="3">
                  <c:v>Sustainability</c:v>
                </c:pt>
                <c:pt idx="4">
                  <c:v>Funding</c:v>
                </c:pt>
              </c:strCache>
            </c:strRef>
          </c:cat>
          <c:val>
            <c:numRef>
              <c:f>'Planning Process'!$D$7:$D$11</c:f>
              <c:numCache>
                <c:formatCode>0.00</c:formatCode>
                <c:ptCount val="5"/>
                <c:pt idx="0">
                  <c:v>5</c:v>
                </c:pt>
                <c:pt idx="1">
                  <c:v>3</c:v>
                </c:pt>
                <c:pt idx="2">
                  <c:v>2</c:v>
                </c:pt>
                <c:pt idx="3">
                  <c:v>2</c:v>
                </c:pt>
                <c:pt idx="4">
                  <c:v>3</c:v>
                </c:pt>
              </c:numCache>
            </c:numRef>
          </c:val>
        </c:ser>
        <c:ser>
          <c:idx val="1"/>
          <c:order val="1"/>
          <c:tx>
            <c:strRef>
              <c:f>'Planning Process'!$E$6</c:f>
              <c:strCache>
                <c:ptCount val="1"/>
                <c:pt idx="0">
                  <c:v>Current</c:v>
                </c:pt>
              </c:strCache>
            </c:strRef>
          </c:tx>
          <c:spPr>
            <a:solidFill>
              <a:srgbClr val="FFFF00"/>
            </a:solidFill>
          </c:spPr>
          <c:invertIfNegative val="0"/>
          <c:cat>
            <c:strRef>
              <c:f>'Planning Process'!$A$7:$A$11</c:f>
              <c:strCache>
                <c:ptCount val="5"/>
                <c:pt idx="0">
                  <c:v>Definition</c:v>
                </c:pt>
                <c:pt idx="1">
                  <c:v>Standards Adoption</c:v>
                </c:pt>
                <c:pt idx="2">
                  <c:v>Risk Management</c:v>
                </c:pt>
                <c:pt idx="3">
                  <c:v>Sustainability</c:v>
                </c:pt>
                <c:pt idx="4">
                  <c:v>Funding</c:v>
                </c:pt>
              </c:strCache>
            </c:strRef>
          </c:cat>
          <c:val>
            <c:numRef>
              <c:f>'Planning Process'!$E$7:$E$11</c:f>
              <c:numCache>
                <c:formatCode>0.00</c:formatCode>
                <c:ptCount val="5"/>
              </c:numCache>
            </c:numRef>
          </c:val>
        </c:ser>
        <c:dLbls>
          <c:showLegendKey val="0"/>
          <c:showVal val="0"/>
          <c:showCatName val="0"/>
          <c:showSerName val="0"/>
          <c:showPercent val="0"/>
          <c:showBubbleSize val="0"/>
        </c:dLbls>
        <c:gapWidth val="150"/>
        <c:shape val="cylinder"/>
        <c:axId val="122959872"/>
        <c:axId val="123102336"/>
        <c:axId val="0"/>
      </c:bar3DChart>
      <c:catAx>
        <c:axId val="122959872"/>
        <c:scaling>
          <c:orientation val="minMax"/>
        </c:scaling>
        <c:delete val="0"/>
        <c:axPos val="b"/>
        <c:majorTickMark val="out"/>
        <c:minorTickMark val="none"/>
        <c:tickLblPos val="nextTo"/>
        <c:crossAx val="123102336"/>
        <c:crosses val="autoZero"/>
        <c:auto val="1"/>
        <c:lblAlgn val="ctr"/>
        <c:lblOffset val="100"/>
        <c:noMultiLvlLbl val="0"/>
      </c:catAx>
      <c:valAx>
        <c:axId val="123102336"/>
        <c:scaling>
          <c:orientation val="minMax"/>
          <c:max val="5"/>
        </c:scaling>
        <c:delete val="0"/>
        <c:axPos val="l"/>
        <c:majorGridlines/>
        <c:numFmt formatCode="0.00" sourceLinked="1"/>
        <c:majorTickMark val="out"/>
        <c:minorTickMark val="none"/>
        <c:tickLblPos val="nextTo"/>
        <c:crossAx val="122959872"/>
        <c:crosses val="autoZero"/>
        <c:crossBetween val="between"/>
      </c:valAx>
    </c:plotArea>
    <c:legend>
      <c:legendPos val="r"/>
      <c:overlay val="0"/>
    </c:legend>
    <c:plotVisOnly val="1"/>
    <c:dispBlanksAs val="gap"/>
    <c:showDLblsOverMax val="0"/>
  </c:chart>
  <c:printSettings>
    <c:headerFooter/>
    <c:pageMargins b="0.75000000000000522" l="0.70000000000000062" r="0.70000000000000062" t="0.75000000000000522"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Technical Capabilities</a:t>
            </a:r>
          </a:p>
        </c:rich>
      </c:tx>
      <c:overlay val="0"/>
    </c:title>
    <c:autoTitleDeleted val="0"/>
    <c:plotArea>
      <c:layout/>
      <c:radarChart>
        <c:radarStyle val="marker"/>
        <c:varyColors val="0"/>
        <c:ser>
          <c:idx val="0"/>
          <c:order val="0"/>
          <c:tx>
            <c:strRef>
              <c:f>'Technical Capability'!$D$6</c:f>
              <c:strCache>
                <c:ptCount val="1"/>
                <c:pt idx="0">
                  <c:v>Ready</c:v>
                </c:pt>
              </c:strCache>
            </c:strRef>
          </c:tx>
          <c:marker>
            <c:symbol val="square"/>
            <c:size val="5"/>
            <c:spPr>
              <a:solidFill>
                <a:schemeClr val="accent1"/>
              </a:solidFill>
            </c:spPr>
          </c:marker>
          <c:cat>
            <c:strRef>
              <c:f>'Technical Capability'!$A$7:$A$13</c:f>
              <c:strCache>
                <c:ptCount val="7"/>
                <c:pt idx="0">
                  <c:v>Impact Analysis</c:v>
                </c:pt>
                <c:pt idx="1">
                  <c:v>Target Architecture</c:v>
                </c:pt>
                <c:pt idx="2">
                  <c:v>Standards Implementation</c:v>
                </c:pt>
                <c:pt idx="3">
                  <c:v>Data Storage</c:v>
                </c:pt>
                <c:pt idx="4">
                  <c:v>Data Access</c:v>
                </c:pt>
                <c:pt idx="5">
                  <c:v>Data Transmission</c:v>
                </c:pt>
                <c:pt idx="6">
                  <c:v>Privacy and Security</c:v>
                </c:pt>
              </c:strCache>
            </c:strRef>
          </c:cat>
          <c:val>
            <c:numRef>
              <c:f>'Technical Capability'!$D$7:$D$13</c:f>
              <c:numCache>
                <c:formatCode>0.00</c:formatCode>
                <c:ptCount val="7"/>
                <c:pt idx="0">
                  <c:v>2</c:v>
                </c:pt>
                <c:pt idx="1">
                  <c:v>3</c:v>
                </c:pt>
                <c:pt idx="2">
                  <c:v>2</c:v>
                </c:pt>
                <c:pt idx="3">
                  <c:v>3</c:v>
                </c:pt>
                <c:pt idx="4">
                  <c:v>3</c:v>
                </c:pt>
                <c:pt idx="5">
                  <c:v>3</c:v>
                </c:pt>
                <c:pt idx="6">
                  <c:v>4</c:v>
                </c:pt>
              </c:numCache>
            </c:numRef>
          </c:val>
        </c:ser>
        <c:ser>
          <c:idx val="1"/>
          <c:order val="1"/>
          <c:tx>
            <c:strRef>
              <c:f>'Technical Capability'!$E$6</c:f>
              <c:strCache>
                <c:ptCount val="1"/>
                <c:pt idx="0">
                  <c:v>Current</c:v>
                </c:pt>
              </c:strCache>
            </c:strRef>
          </c:tx>
          <c:spPr>
            <a:ln>
              <a:solidFill>
                <a:srgbClr val="FFFF00"/>
              </a:solidFill>
            </a:ln>
          </c:spPr>
          <c:marker>
            <c:symbol val="square"/>
            <c:size val="5"/>
            <c:spPr>
              <a:solidFill>
                <a:srgbClr val="C00000"/>
              </a:solidFill>
              <a:ln>
                <a:solidFill>
                  <a:srgbClr val="FFFF00"/>
                </a:solidFill>
              </a:ln>
            </c:spPr>
          </c:marker>
          <c:cat>
            <c:strRef>
              <c:f>'Technical Capability'!$A$7:$A$13</c:f>
              <c:strCache>
                <c:ptCount val="7"/>
                <c:pt idx="0">
                  <c:v>Impact Analysis</c:v>
                </c:pt>
                <c:pt idx="1">
                  <c:v>Target Architecture</c:v>
                </c:pt>
                <c:pt idx="2">
                  <c:v>Standards Implementation</c:v>
                </c:pt>
                <c:pt idx="3">
                  <c:v>Data Storage</c:v>
                </c:pt>
                <c:pt idx="4">
                  <c:v>Data Access</c:v>
                </c:pt>
                <c:pt idx="5">
                  <c:v>Data Transmission</c:v>
                </c:pt>
                <c:pt idx="6">
                  <c:v>Privacy and Security</c:v>
                </c:pt>
              </c:strCache>
            </c:strRef>
          </c:cat>
          <c:val>
            <c:numRef>
              <c:f>'Technical Capability'!$E$7:$E$13</c:f>
              <c:numCache>
                <c:formatCode>0.00</c:formatCode>
                <c:ptCount val="7"/>
              </c:numCache>
            </c:numRef>
          </c:val>
        </c:ser>
        <c:dLbls>
          <c:showLegendKey val="0"/>
          <c:showVal val="0"/>
          <c:showCatName val="0"/>
          <c:showSerName val="0"/>
          <c:showPercent val="0"/>
          <c:showBubbleSize val="0"/>
        </c:dLbls>
        <c:axId val="39292416"/>
        <c:axId val="120570432"/>
      </c:radarChart>
      <c:catAx>
        <c:axId val="39292416"/>
        <c:scaling>
          <c:orientation val="minMax"/>
        </c:scaling>
        <c:delete val="0"/>
        <c:axPos val="b"/>
        <c:majorGridlines/>
        <c:majorTickMark val="none"/>
        <c:minorTickMark val="none"/>
        <c:tickLblPos val="nextTo"/>
        <c:spPr>
          <a:ln w="9525">
            <a:noFill/>
          </a:ln>
        </c:spPr>
        <c:crossAx val="120570432"/>
        <c:crosses val="autoZero"/>
        <c:auto val="1"/>
        <c:lblAlgn val="ctr"/>
        <c:lblOffset val="100"/>
        <c:noMultiLvlLbl val="0"/>
      </c:catAx>
      <c:valAx>
        <c:axId val="120570432"/>
        <c:scaling>
          <c:orientation val="minMax"/>
          <c:max val="5"/>
        </c:scaling>
        <c:delete val="0"/>
        <c:axPos val="l"/>
        <c:majorGridlines/>
        <c:numFmt formatCode="0.00" sourceLinked="1"/>
        <c:majorTickMark val="none"/>
        <c:minorTickMark val="none"/>
        <c:tickLblPos val="nextTo"/>
        <c:crossAx val="39292416"/>
        <c:crosses val="autoZero"/>
        <c:crossBetween val="between"/>
      </c:valAx>
    </c:plotArea>
    <c:legend>
      <c:legendPos val="r"/>
      <c:overlay val="0"/>
    </c:legend>
    <c:plotVisOnly val="1"/>
    <c:dispBlanksAs val="gap"/>
    <c:showDLblsOverMax val="0"/>
  </c:chart>
  <c:printSettings>
    <c:headerFooter/>
    <c:pageMargins b="0.75000000000000588" l="0.70000000000000062" r="0.70000000000000062" t="0.75000000000000588"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Technical Capabilities</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'Technical Capability'!$D$6</c:f>
              <c:strCache>
                <c:ptCount val="1"/>
                <c:pt idx="0">
                  <c:v>Ready</c:v>
                </c:pt>
              </c:strCache>
            </c:strRef>
          </c:tx>
          <c:invertIfNegative val="0"/>
          <c:cat>
            <c:strRef>
              <c:f>'Technical Capability'!$A$7:$A$13</c:f>
              <c:strCache>
                <c:ptCount val="7"/>
                <c:pt idx="0">
                  <c:v>Impact Analysis</c:v>
                </c:pt>
                <c:pt idx="1">
                  <c:v>Target Architecture</c:v>
                </c:pt>
                <c:pt idx="2">
                  <c:v>Standards Implementation</c:v>
                </c:pt>
                <c:pt idx="3">
                  <c:v>Data Storage</c:v>
                </c:pt>
                <c:pt idx="4">
                  <c:v>Data Access</c:v>
                </c:pt>
                <c:pt idx="5">
                  <c:v>Data Transmission</c:v>
                </c:pt>
                <c:pt idx="6">
                  <c:v>Privacy and Security</c:v>
                </c:pt>
              </c:strCache>
            </c:strRef>
          </c:cat>
          <c:val>
            <c:numRef>
              <c:f>'Technical Capability'!$D$7:$D$13</c:f>
              <c:numCache>
                <c:formatCode>0.00</c:formatCode>
                <c:ptCount val="7"/>
                <c:pt idx="0">
                  <c:v>2</c:v>
                </c:pt>
                <c:pt idx="1">
                  <c:v>3</c:v>
                </c:pt>
                <c:pt idx="2">
                  <c:v>2</c:v>
                </c:pt>
                <c:pt idx="3">
                  <c:v>3</c:v>
                </c:pt>
                <c:pt idx="4">
                  <c:v>3</c:v>
                </c:pt>
                <c:pt idx="5">
                  <c:v>3</c:v>
                </c:pt>
                <c:pt idx="6">
                  <c:v>4</c:v>
                </c:pt>
              </c:numCache>
            </c:numRef>
          </c:val>
        </c:ser>
        <c:ser>
          <c:idx val="1"/>
          <c:order val="1"/>
          <c:tx>
            <c:strRef>
              <c:f>'Technical Capability'!$E$6</c:f>
              <c:strCache>
                <c:ptCount val="1"/>
                <c:pt idx="0">
                  <c:v>Current</c:v>
                </c:pt>
              </c:strCache>
            </c:strRef>
          </c:tx>
          <c:spPr>
            <a:solidFill>
              <a:srgbClr val="FFFF00"/>
            </a:solidFill>
          </c:spPr>
          <c:invertIfNegative val="0"/>
          <c:cat>
            <c:strRef>
              <c:f>'Technical Capability'!$A$7:$A$13</c:f>
              <c:strCache>
                <c:ptCount val="7"/>
                <c:pt idx="0">
                  <c:v>Impact Analysis</c:v>
                </c:pt>
                <c:pt idx="1">
                  <c:v>Target Architecture</c:v>
                </c:pt>
                <c:pt idx="2">
                  <c:v>Standards Implementation</c:v>
                </c:pt>
                <c:pt idx="3">
                  <c:v>Data Storage</c:v>
                </c:pt>
                <c:pt idx="4">
                  <c:v>Data Access</c:v>
                </c:pt>
                <c:pt idx="5">
                  <c:v>Data Transmission</c:v>
                </c:pt>
                <c:pt idx="6">
                  <c:v>Privacy and Security</c:v>
                </c:pt>
              </c:strCache>
            </c:strRef>
          </c:cat>
          <c:val>
            <c:numRef>
              <c:f>'Technical Capability'!$E$7:$E$13</c:f>
              <c:numCache>
                <c:formatCode>0.00</c:formatCode>
                <c:ptCount val="7"/>
              </c:numCache>
            </c:numRef>
          </c:val>
        </c:ser>
        <c:dLbls>
          <c:showLegendKey val="0"/>
          <c:showVal val="0"/>
          <c:showCatName val="0"/>
          <c:showSerName val="0"/>
          <c:showPercent val="0"/>
          <c:showBubbleSize val="0"/>
        </c:dLbls>
        <c:gapWidth val="150"/>
        <c:shape val="cylinder"/>
        <c:axId val="122960384"/>
        <c:axId val="120572736"/>
        <c:axId val="0"/>
      </c:bar3DChart>
      <c:catAx>
        <c:axId val="122960384"/>
        <c:scaling>
          <c:orientation val="minMax"/>
        </c:scaling>
        <c:delete val="0"/>
        <c:axPos val="b"/>
        <c:majorTickMark val="out"/>
        <c:minorTickMark val="none"/>
        <c:tickLblPos val="nextTo"/>
        <c:crossAx val="120572736"/>
        <c:crosses val="autoZero"/>
        <c:auto val="1"/>
        <c:lblAlgn val="ctr"/>
        <c:lblOffset val="100"/>
        <c:noMultiLvlLbl val="0"/>
      </c:catAx>
      <c:valAx>
        <c:axId val="120572736"/>
        <c:scaling>
          <c:orientation val="minMax"/>
          <c:max val="5"/>
        </c:scaling>
        <c:delete val="0"/>
        <c:axPos val="l"/>
        <c:majorGridlines/>
        <c:numFmt formatCode="0.00" sourceLinked="1"/>
        <c:majorTickMark val="out"/>
        <c:minorTickMark val="none"/>
        <c:tickLblPos val="nextTo"/>
        <c:crossAx val="122960384"/>
        <c:crosses val="autoZero"/>
        <c:crossBetween val="between"/>
      </c:valAx>
    </c:plotArea>
    <c:legend>
      <c:legendPos val="r"/>
      <c:overlay val="0"/>
    </c:legend>
    <c:plotVisOnly val="1"/>
    <c:dispBlanksAs val="gap"/>
    <c:showDLblsOverMax val="0"/>
  </c:chart>
  <c:printSettings>
    <c:headerFooter/>
    <c:pageMargins b="0.75000000000000522" l="0.70000000000000062" r="0.70000000000000062" t="0.75000000000000522"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542925</xdr:colOff>
      <xdr:row>8</xdr:row>
      <xdr:rowOff>28575</xdr:rowOff>
    </xdr:from>
    <xdr:to>
      <xdr:col>1</xdr:col>
      <xdr:colOff>3848100</xdr:colOff>
      <xdr:row>13</xdr:row>
      <xdr:rowOff>118436</xdr:rowOff>
    </xdr:to>
    <xdr:pic>
      <xdr:nvPicPr>
        <xdr:cNvPr id="2" name="Picture 1" descr="NIEM logo" title="NIEM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7175" y="3048000"/>
          <a:ext cx="3848100" cy="8994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38100</xdr:rowOff>
    </xdr:from>
    <xdr:to>
      <xdr:col>4</xdr:col>
      <xdr:colOff>543127</xdr:colOff>
      <xdr:row>0</xdr:row>
      <xdr:rowOff>869156</xdr:rowOff>
    </xdr:to>
    <xdr:pic>
      <xdr:nvPicPr>
        <xdr:cNvPr id="2" name="Picture 1" descr="NIEM logo" title="NIEM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8100"/>
          <a:ext cx="2500515" cy="8310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217170</xdr:colOff>
      <xdr:row>16</xdr:row>
      <xdr:rowOff>162377</xdr:rowOff>
    </xdr:from>
    <xdr:to>
      <xdr:col>7</xdr:col>
      <xdr:colOff>340179</xdr:colOff>
      <xdr:row>35</xdr:row>
      <xdr:rowOff>130628</xdr:rowOff>
    </xdr:to>
    <xdr:graphicFrame macro="">
      <xdr:nvGraphicFramePr>
        <xdr:cNvPr id="4" name="Chart 3" descr="Business Need-­Strategic Priority Alignment" title="Business Nee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434885</xdr:colOff>
      <xdr:row>16</xdr:row>
      <xdr:rowOff>160672</xdr:rowOff>
    </xdr:from>
    <xdr:to>
      <xdr:col>14</xdr:col>
      <xdr:colOff>217715</xdr:colOff>
      <xdr:row>35</xdr:row>
      <xdr:rowOff>130628</xdr:rowOff>
    </xdr:to>
    <xdr:graphicFrame macro="">
      <xdr:nvGraphicFramePr>
        <xdr:cNvPr id="5" name="Chart 4" descr="Business Need" title="Business Nee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339634</xdr:colOff>
      <xdr:row>17</xdr:row>
      <xdr:rowOff>0</xdr:rowOff>
    </xdr:from>
    <xdr:to>
      <xdr:col>21</xdr:col>
      <xdr:colOff>168184</xdr:colOff>
      <xdr:row>35</xdr:row>
      <xdr:rowOff>133241</xdr:rowOff>
    </xdr:to>
    <xdr:graphicFrame macro="">
      <xdr:nvGraphicFramePr>
        <xdr:cNvPr id="6" name="Chart 5" descr="Stakeholder Community-Community Engagement and Ownership" title="Stakeholder Community"/>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272143</xdr:colOff>
      <xdr:row>16</xdr:row>
      <xdr:rowOff>160672</xdr:rowOff>
    </xdr:from>
    <xdr:to>
      <xdr:col>28</xdr:col>
      <xdr:colOff>54973</xdr:colOff>
      <xdr:row>35</xdr:row>
      <xdr:rowOff>130628</xdr:rowOff>
    </xdr:to>
    <xdr:graphicFrame macro="">
      <xdr:nvGraphicFramePr>
        <xdr:cNvPr id="7" name="Chart 6" descr="Stakeholder Community" title="Stakeholder Community"/>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217170</xdr:colOff>
      <xdr:row>36</xdr:row>
      <xdr:rowOff>163284</xdr:rowOff>
    </xdr:from>
    <xdr:to>
      <xdr:col>7</xdr:col>
      <xdr:colOff>339636</xdr:colOff>
      <xdr:row>55</xdr:row>
      <xdr:rowOff>133240</xdr:rowOff>
    </xdr:to>
    <xdr:graphicFrame macro="">
      <xdr:nvGraphicFramePr>
        <xdr:cNvPr id="8" name="Chart 7" descr="Planning Process" title="Planning Proces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434885</xdr:colOff>
      <xdr:row>36</xdr:row>
      <xdr:rowOff>163284</xdr:rowOff>
    </xdr:from>
    <xdr:to>
      <xdr:col>14</xdr:col>
      <xdr:colOff>217715</xdr:colOff>
      <xdr:row>55</xdr:row>
      <xdr:rowOff>133240</xdr:rowOff>
    </xdr:to>
    <xdr:graphicFrame macro="">
      <xdr:nvGraphicFramePr>
        <xdr:cNvPr id="9" name="Chart 8" descr="Planning Process" title="Planning Proces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321129</xdr:colOff>
      <xdr:row>37</xdr:row>
      <xdr:rowOff>0</xdr:rowOff>
    </xdr:from>
    <xdr:to>
      <xdr:col>21</xdr:col>
      <xdr:colOff>149679</xdr:colOff>
      <xdr:row>55</xdr:row>
      <xdr:rowOff>133242</xdr:rowOff>
    </xdr:to>
    <xdr:graphicFrame macro="">
      <xdr:nvGraphicFramePr>
        <xdr:cNvPr id="10" name="Chart 9" descr="Technical Capabilities" title="Technical Capabilitie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272143</xdr:colOff>
      <xdr:row>36</xdr:row>
      <xdr:rowOff>163284</xdr:rowOff>
    </xdr:from>
    <xdr:to>
      <xdr:col>28</xdr:col>
      <xdr:colOff>54973</xdr:colOff>
      <xdr:row>55</xdr:row>
      <xdr:rowOff>133240</xdr:rowOff>
    </xdr:to>
    <xdr:graphicFrame macro="">
      <xdr:nvGraphicFramePr>
        <xdr:cNvPr id="11" name="Chart 10" descr="Technical Capabilities" title="Technical Capabilitie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19050</xdr:colOff>
      <xdr:row>0</xdr:row>
      <xdr:rowOff>38100</xdr:rowOff>
    </xdr:from>
    <xdr:to>
      <xdr:col>4</xdr:col>
      <xdr:colOff>543127</xdr:colOff>
      <xdr:row>1</xdr:row>
      <xdr:rowOff>2381</xdr:rowOff>
    </xdr:to>
    <xdr:pic>
      <xdr:nvPicPr>
        <xdr:cNvPr id="14" name="Picture 13" descr="NIEM logo" title="NIEM logo"/>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9050" y="38100"/>
          <a:ext cx="2679448" cy="86779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9</xdr:col>
      <xdr:colOff>209550</xdr:colOff>
      <xdr:row>4</xdr:row>
      <xdr:rowOff>0</xdr:rowOff>
    </xdr:from>
    <xdr:ext cx="2276475" cy="264560"/>
    <xdr:sp macro="" textlink="">
      <xdr:nvSpPr>
        <xdr:cNvPr id="5" name="TextBox 4"/>
        <xdr:cNvSpPr txBox="1"/>
      </xdr:nvSpPr>
      <xdr:spPr>
        <a:xfrm>
          <a:off x="7134225" y="45720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335280</xdr:rowOff>
        </xdr:from>
        <xdr:to>
          <xdr:col>0</xdr:col>
          <xdr:colOff>2164080</xdr:colOff>
          <xdr:row>4</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en-US" sz="1400" b="1" i="0" u="sng" strike="noStrike" baseline="0">
                  <a:solidFill>
                    <a:srgbClr val="FF0000"/>
                  </a:solidFill>
                  <a:latin typeface="Arial"/>
                  <a:cs typeface="Arial"/>
                </a:rPr>
                <a:t>Clear Scores</a:t>
              </a:r>
              <a:endParaRPr lang="en-US"/>
            </a:p>
          </xdr:txBody>
        </xdr:sp>
        <xdr:clientData fPrintsWithSheet="0"/>
      </xdr:twoCellAnchor>
    </mc:Choice>
    <mc:Fallback/>
  </mc:AlternateContent>
  <xdr:twoCellAnchor editAs="oneCell">
    <xdr:from>
      <xdr:col>0</xdr:col>
      <xdr:colOff>19050</xdr:colOff>
      <xdr:row>0</xdr:row>
      <xdr:rowOff>38100</xdr:rowOff>
    </xdr:from>
    <xdr:to>
      <xdr:col>1</xdr:col>
      <xdr:colOff>1143000</xdr:colOff>
      <xdr:row>0</xdr:row>
      <xdr:rowOff>843643</xdr:rowOff>
    </xdr:to>
    <xdr:pic>
      <xdr:nvPicPr>
        <xdr:cNvPr id="7" name="Picture 6" descr="NIEM logo" title="NIEM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8100"/>
          <a:ext cx="3301093" cy="8055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9</xdr:col>
      <xdr:colOff>209550</xdr:colOff>
      <xdr:row>2</xdr:row>
      <xdr:rowOff>0</xdr:rowOff>
    </xdr:from>
    <xdr:ext cx="2276475" cy="264560"/>
    <xdr:sp macro="" textlink="">
      <xdr:nvSpPr>
        <xdr:cNvPr id="8" name="TextBox 7"/>
        <xdr:cNvSpPr txBox="1"/>
      </xdr:nvSpPr>
      <xdr:spPr>
        <a:xfrm>
          <a:off x="12836979" y="1510393"/>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30480</xdr:rowOff>
    </xdr:from>
    <xdr:ext cx="2276475" cy="234080"/>
    <xdr:sp macro="" textlink="">
      <xdr:nvSpPr>
        <xdr:cNvPr id="9" name="TextBox 8"/>
        <xdr:cNvSpPr txBox="1"/>
      </xdr:nvSpPr>
      <xdr:spPr>
        <a:xfrm>
          <a:off x="13254990" y="1188720"/>
          <a:ext cx="2276475" cy="234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9</xdr:col>
      <xdr:colOff>209550</xdr:colOff>
      <xdr:row>4</xdr:row>
      <xdr:rowOff>0</xdr:rowOff>
    </xdr:from>
    <xdr:ext cx="2276475" cy="264560"/>
    <xdr:sp macro="" textlink="">
      <xdr:nvSpPr>
        <xdr:cNvPr id="6" name="TextBox 5"/>
        <xdr:cNvSpPr txBox="1"/>
      </xdr:nvSpPr>
      <xdr:spPr>
        <a:xfrm>
          <a:off x="9201150" y="45720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4</xdr:row>
      <xdr:rowOff>0</xdr:rowOff>
    </xdr:from>
    <xdr:ext cx="2276475" cy="264560"/>
    <xdr:sp macro="" textlink="">
      <xdr:nvSpPr>
        <xdr:cNvPr id="7" name="TextBox 6"/>
        <xdr:cNvSpPr txBox="1"/>
      </xdr:nvSpPr>
      <xdr:spPr>
        <a:xfrm>
          <a:off x="9182100" y="45720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4</xdr:row>
      <xdr:rowOff>0</xdr:rowOff>
    </xdr:from>
    <xdr:ext cx="2276475" cy="264560"/>
    <xdr:sp macro="" textlink="">
      <xdr:nvSpPr>
        <xdr:cNvPr id="8" name="TextBox 7"/>
        <xdr:cNvSpPr txBox="1"/>
      </xdr:nvSpPr>
      <xdr:spPr>
        <a:xfrm>
          <a:off x="9182100" y="45720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0</xdr:col>
          <xdr:colOff>0</xdr:colOff>
          <xdr:row>3</xdr:row>
          <xdr:rowOff>7620</xdr:rowOff>
        </xdr:from>
        <xdr:to>
          <xdr:col>0</xdr:col>
          <xdr:colOff>2514600</xdr:colOff>
          <xdr:row>4</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en-US" sz="1400" b="1" i="0" u="sng" strike="noStrike" baseline="0">
                  <a:solidFill>
                    <a:srgbClr val="FF0000"/>
                  </a:solidFill>
                  <a:latin typeface="Arial"/>
                  <a:cs typeface="Arial"/>
                </a:rPr>
                <a:t>Clear Scores</a:t>
              </a:r>
              <a:endParaRPr lang="en-US"/>
            </a:p>
          </xdr:txBody>
        </xdr:sp>
        <xdr:clientData fPrintsWithSheet="0"/>
      </xdr:twoCellAnchor>
    </mc:Choice>
    <mc:Fallback/>
  </mc:AlternateContent>
  <xdr:twoCellAnchor editAs="oneCell">
    <xdr:from>
      <xdr:col>0</xdr:col>
      <xdr:colOff>19050</xdr:colOff>
      <xdr:row>0</xdr:row>
      <xdr:rowOff>38100</xdr:rowOff>
    </xdr:from>
    <xdr:to>
      <xdr:col>2</xdr:col>
      <xdr:colOff>367393</xdr:colOff>
      <xdr:row>0</xdr:row>
      <xdr:rowOff>898071</xdr:rowOff>
    </xdr:to>
    <xdr:pic>
      <xdr:nvPicPr>
        <xdr:cNvPr id="9" name="Picture 8" descr="NIEM logo" title="NIEM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8100"/>
          <a:ext cx="4090307" cy="85997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9</xdr:col>
      <xdr:colOff>209550</xdr:colOff>
      <xdr:row>2</xdr:row>
      <xdr:rowOff>0</xdr:rowOff>
    </xdr:from>
    <xdr:ext cx="2276475" cy="264560"/>
    <xdr:sp macro="" textlink="">
      <xdr:nvSpPr>
        <xdr:cNvPr id="10" name="TextBox 9"/>
        <xdr:cNvSpPr txBox="1"/>
      </xdr:nvSpPr>
      <xdr:spPr>
        <a:xfrm>
          <a:off x="12868275" y="116205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11" name="TextBox 10"/>
        <xdr:cNvSpPr txBox="1"/>
      </xdr:nvSpPr>
      <xdr:spPr>
        <a:xfrm>
          <a:off x="12868275" y="116205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12" name="TextBox 11"/>
        <xdr:cNvSpPr txBox="1"/>
      </xdr:nvSpPr>
      <xdr:spPr>
        <a:xfrm>
          <a:off x="13626193" y="2041071"/>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13" name="TextBox 12"/>
        <xdr:cNvSpPr txBox="1"/>
      </xdr:nvSpPr>
      <xdr:spPr>
        <a:xfrm>
          <a:off x="13626193" y="2041071"/>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14" name="TextBox 13"/>
        <xdr:cNvSpPr txBox="1"/>
      </xdr:nvSpPr>
      <xdr:spPr>
        <a:xfrm>
          <a:off x="13626193" y="2041071"/>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9</xdr:col>
      <xdr:colOff>209550</xdr:colOff>
      <xdr:row>2</xdr:row>
      <xdr:rowOff>0</xdr:rowOff>
    </xdr:from>
    <xdr:ext cx="2276475" cy="264560"/>
    <xdr:sp macro="" textlink="">
      <xdr:nvSpPr>
        <xdr:cNvPr id="4" name="TextBox 3"/>
        <xdr:cNvSpPr txBox="1"/>
      </xdr:nvSpPr>
      <xdr:spPr>
        <a:xfrm>
          <a:off x="8886825" y="45720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6" name="TextBox 5"/>
        <xdr:cNvSpPr txBox="1"/>
      </xdr:nvSpPr>
      <xdr:spPr>
        <a:xfrm>
          <a:off x="9982200" y="45720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7" name="TextBox 6"/>
        <xdr:cNvSpPr txBox="1"/>
      </xdr:nvSpPr>
      <xdr:spPr>
        <a:xfrm>
          <a:off x="9982200" y="45720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8" name="TextBox 7"/>
        <xdr:cNvSpPr txBox="1"/>
      </xdr:nvSpPr>
      <xdr:spPr>
        <a:xfrm>
          <a:off x="9982200" y="45720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0</xdr:col>
          <xdr:colOff>7620</xdr:colOff>
          <xdr:row>3</xdr:row>
          <xdr:rowOff>7620</xdr:rowOff>
        </xdr:from>
        <xdr:to>
          <xdr:col>1</xdr:col>
          <xdr:colOff>0</xdr:colOff>
          <xdr:row>4</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en-US" sz="1400" b="1" i="0" u="sng" strike="noStrike" baseline="0">
                  <a:solidFill>
                    <a:srgbClr val="FF0000"/>
                  </a:solidFill>
                  <a:latin typeface="Arial"/>
                  <a:cs typeface="Arial"/>
                </a:rPr>
                <a:t>Clear Scores</a:t>
              </a:r>
              <a:endParaRPr lang="en-US"/>
            </a:p>
          </xdr:txBody>
        </xdr:sp>
        <xdr:clientData fPrintsWithSheet="0"/>
      </xdr:twoCellAnchor>
    </mc:Choice>
    <mc:Fallback/>
  </mc:AlternateContent>
  <xdr:twoCellAnchor editAs="oneCell">
    <xdr:from>
      <xdr:col>0</xdr:col>
      <xdr:colOff>19050</xdr:colOff>
      <xdr:row>0</xdr:row>
      <xdr:rowOff>38100</xdr:rowOff>
    </xdr:from>
    <xdr:to>
      <xdr:col>1</xdr:col>
      <xdr:colOff>1143000</xdr:colOff>
      <xdr:row>1</xdr:row>
      <xdr:rowOff>2721</xdr:rowOff>
    </xdr:to>
    <xdr:pic>
      <xdr:nvPicPr>
        <xdr:cNvPr id="15" name="Picture 14" descr="NIEM logo" title="NIEM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8100"/>
          <a:ext cx="4095750" cy="85997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9</xdr:col>
      <xdr:colOff>209550</xdr:colOff>
      <xdr:row>2</xdr:row>
      <xdr:rowOff>0</xdr:rowOff>
    </xdr:from>
    <xdr:ext cx="2276475" cy="264560"/>
    <xdr:sp macro="" textlink="">
      <xdr:nvSpPr>
        <xdr:cNvPr id="16" name="TextBox 15"/>
        <xdr:cNvSpPr txBox="1"/>
      </xdr:nvSpPr>
      <xdr:spPr>
        <a:xfrm>
          <a:off x="13668375" y="116205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17" name="TextBox 16"/>
        <xdr:cNvSpPr txBox="1"/>
      </xdr:nvSpPr>
      <xdr:spPr>
        <a:xfrm>
          <a:off x="13668375" y="116205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18" name="TextBox 17"/>
        <xdr:cNvSpPr txBox="1"/>
      </xdr:nvSpPr>
      <xdr:spPr>
        <a:xfrm>
          <a:off x="13668375" y="116205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19" name="TextBox 18"/>
        <xdr:cNvSpPr txBox="1"/>
      </xdr:nvSpPr>
      <xdr:spPr>
        <a:xfrm>
          <a:off x="13668375" y="116205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20" name="TextBox 19"/>
        <xdr:cNvSpPr txBox="1"/>
      </xdr:nvSpPr>
      <xdr:spPr>
        <a:xfrm>
          <a:off x="13668375" y="116205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209550</xdr:colOff>
      <xdr:row>4</xdr:row>
      <xdr:rowOff>0</xdr:rowOff>
    </xdr:from>
    <xdr:ext cx="2276475" cy="264560"/>
    <xdr:sp macro="" textlink="">
      <xdr:nvSpPr>
        <xdr:cNvPr id="5" name="TextBox 4"/>
        <xdr:cNvSpPr txBox="1"/>
      </xdr:nvSpPr>
      <xdr:spPr>
        <a:xfrm>
          <a:off x="8562975" y="45720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4</xdr:row>
      <xdr:rowOff>0</xdr:rowOff>
    </xdr:from>
    <xdr:ext cx="2276475" cy="264560"/>
    <xdr:sp macro="" textlink="">
      <xdr:nvSpPr>
        <xdr:cNvPr id="6" name="TextBox 5"/>
        <xdr:cNvSpPr txBox="1"/>
      </xdr:nvSpPr>
      <xdr:spPr>
        <a:xfrm>
          <a:off x="9039225" y="45720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4</xdr:row>
      <xdr:rowOff>0</xdr:rowOff>
    </xdr:from>
    <xdr:ext cx="2276475" cy="264560"/>
    <xdr:sp macro="" textlink="">
      <xdr:nvSpPr>
        <xdr:cNvPr id="7" name="TextBox 6"/>
        <xdr:cNvSpPr txBox="1"/>
      </xdr:nvSpPr>
      <xdr:spPr>
        <a:xfrm>
          <a:off x="9039225" y="45720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4</xdr:row>
      <xdr:rowOff>0</xdr:rowOff>
    </xdr:from>
    <xdr:ext cx="2276475" cy="264560"/>
    <xdr:sp macro="" textlink="">
      <xdr:nvSpPr>
        <xdr:cNvPr id="8" name="TextBox 7"/>
        <xdr:cNvSpPr txBox="1"/>
      </xdr:nvSpPr>
      <xdr:spPr>
        <a:xfrm>
          <a:off x="9039225" y="45720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4</xdr:row>
      <xdr:rowOff>0</xdr:rowOff>
    </xdr:from>
    <xdr:ext cx="2276475" cy="264560"/>
    <xdr:sp macro="" textlink="">
      <xdr:nvSpPr>
        <xdr:cNvPr id="9" name="TextBox 8"/>
        <xdr:cNvSpPr txBox="1"/>
      </xdr:nvSpPr>
      <xdr:spPr>
        <a:xfrm>
          <a:off x="9039225" y="45720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335280</xdr:rowOff>
        </xdr:from>
        <xdr:to>
          <xdr:col>1</xdr:col>
          <xdr:colOff>0</xdr:colOff>
          <xdr:row>4</xdr:row>
          <xdr:rowOff>7620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en-US" sz="1400" b="1" i="0" u="sng" strike="noStrike" baseline="0">
                  <a:solidFill>
                    <a:srgbClr val="FF0000"/>
                  </a:solidFill>
                  <a:latin typeface="Arial"/>
                  <a:cs typeface="Arial"/>
                </a:rPr>
                <a:t>Clear Scores</a:t>
              </a:r>
              <a:endParaRPr lang="en-US"/>
            </a:p>
          </xdr:txBody>
        </xdr:sp>
        <xdr:clientData fPrintsWithSheet="0"/>
      </xdr:twoCellAnchor>
    </mc:Choice>
    <mc:Fallback/>
  </mc:AlternateContent>
  <xdr:oneCellAnchor>
    <xdr:from>
      <xdr:col>9</xdr:col>
      <xdr:colOff>209550</xdr:colOff>
      <xdr:row>2</xdr:row>
      <xdr:rowOff>0</xdr:rowOff>
    </xdr:from>
    <xdr:ext cx="2276475" cy="264560"/>
    <xdr:sp macro="" textlink="">
      <xdr:nvSpPr>
        <xdr:cNvPr id="10" name="TextBox 9"/>
        <xdr:cNvSpPr txBox="1"/>
      </xdr:nvSpPr>
      <xdr:spPr>
        <a:xfrm>
          <a:off x="12725400" y="116205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11" name="TextBox 10"/>
        <xdr:cNvSpPr txBox="1"/>
      </xdr:nvSpPr>
      <xdr:spPr>
        <a:xfrm>
          <a:off x="12725400" y="116205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12" name="TextBox 11"/>
        <xdr:cNvSpPr txBox="1"/>
      </xdr:nvSpPr>
      <xdr:spPr>
        <a:xfrm>
          <a:off x="12725400" y="116205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13" name="TextBox 12"/>
        <xdr:cNvSpPr txBox="1"/>
      </xdr:nvSpPr>
      <xdr:spPr>
        <a:xfrm>
          <a:off x="12725400" y="116205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twoCellAnchor editAs="oneCell">
    <xdr:from>
      <xdr:col>0</xdr:col>
      <xdr:colOff>19050</xdr:colOff>
      <xdr:row>0</xdr:row>
      <xdr:rowOff>38100</xdr:rowOff>
    </xdr:from>
    <xdr:to>
      <xdr:col>1</xdr:col>
      <xdr:colOff>1143000</xdr:colOff>
      <xdr:row>1</xdr:row>
      <xdr:rowOff>2721</xdr:rowOff>
    </xdr:to>
    <xdr:pic>
      <xdr:nvPicPr>
        <xdr:cNvPr id="14" name="Picture 13" descr="NIEM logo" title="NIEM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8100"/>
          <a:ext cx="3152775" cy="8694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9</xdr:col>
      <xdr:colOff>209550</xdr:colOff>
      <xdr:row>2</xdr:row>
      <xdr:rowOff>0</xdr:rowOff>
    </xdr:from>
    <xdr:ext cx="2276475" cy="264560"/>
    <xdr:sp macro="" textlink="">
      <xdr:nvSpPr>
        <xdr:cNvPr id="15" name="TextBox 14"/>
        <xdr:cNvSpPr txBox="1"/>
      </xdr:nvSpPr>
      <xdr:spPr>
        <a:xfrm>
          <a:off x="12725400" y="116205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16" name="TextBox 15"/>
        <xdr:cNvSpPr txBox="1"/>
      </xdr:nvSpPr>
      <xdr:spPr>
        <a:xfrm>
          <a:off x="12725400" y="116205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17" name="TextBox 16"/>
        <xdr:cNvSpPr txBox="1"/>
      </xdr:nvSpPr>
      <xdr:spPr>
        <a:xfrm>
          <a:off x="12725400" y="116205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18" name="TextBox 17"/>
        <xdr:cNvSpPr txBox="1"/>
      </xdr:nvSpPr>
      <xdr:spPr>
        <a:xfrm>
          <a:off x="12725400" y="116205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19" name="TextBox 18"/>
        <xdr:cNvSpPr txBox="1"/>
      </xdr:nvSpPr>
      <xdr:spPr>
        <a:xfrm>
          <a:off x="12725400" y="1162050"/>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25" name="TextBox 24"/>
        <xdr:cNvSpPr txBox="1"/>
      </xdr:nvSpPr>
      <xdr:spPr>
        <a:xfrm>
          <a:off x="12741729" y="2041071"/>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26" name="TextBox 25"/>
        <xdr:cNvSpPr txBox="1"/>
      </xdr:nvSpPr>
      <xdr:spPr>
        <a:xfrm>
          <a:off x="12741729" y="2041071"/>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27" name="TextBox 26"/>
        <xdr:cNvSpPr txBox="1"/>
      </xdr:nvSpPr>
      <xdr:spPr>
        <a:xfrm>
          <a:off x="12741729" y="2041071"/>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28" name="TextBox 27"/>
        <xdr:cNvSpPr txBox="1"/>
      </xdr:nvSpPr>
      <xdr:spPr>
        <a:xfrm>
          <a:off x="12741729" y="2041071"/>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9</xdr:col>
      <xdr:colOff>209550</xdr:colOff>
      <xdr:row>2</xdr:row>
      <xdr:rowOff>0</xdr:rowOff>
    </xdr:from>
    <xdr:ext cx="2276475" cy="264560"/>
    <xdr:sp macro="" textlink="">
      <xdr:nvSpPr>
        <xdr:cNvPr id="29" name="TextBox 28"/>
        <xdr:cNvSpPr txBox="1"/>
      </xdr:nvSpPr>
      <xdr:spPr>
        <a:xfrm>
          <a:off x="12741729" y="2041071"/>
          <a:ext cx="2276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hayford\AppData\Local\Microsoft\Windows\Temporary%20Internet%20Files\Content.Outlook\TYXP8FNO\NIEM_CostBenefitModel_6%2011%202012_v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verview"/>
      <sheetName val="1.0 Instructions"/>
      <sheetName val="2.0 Exchange Variables"/>
      <sheetName val="3.0 Cost Variables"/>
      <sheetName val="4.0 Activities"/>
      <sheetName val="5.0 Summary Analysis"/>
      <sheetName val="5.1 Base YR"/>
      <sheetName val="5.2 YR1"/>
      <sheetName val="5.3 YR2"/>
      <sheetName val="5.4 YR3"/>
      <sheetName val="6.0 Metrics"/>
      <sheetName val="0.1 Dashboard"/>
      <sheetName val="6.0 Appendix"/>
      <sheetName val="Sample Values"/>
      <sheetName val="Sheet1"/>
    </sheetNames>
    <sheetDataSet>
      <sheetData sheetId="0" refreshError="1"/>
      <sheetData sheetId="1" refreshError="1"/>
      <sheetData sheetId="2"/>
      <sheetData sheetId="3">
        <row r="8">
          <cell r="I8" t="str">
            <v>Simple</v>
          </cell>
          <cell r="J8" t="str">
            <v>Moderate</v>
          </cell>
          <cell r="K8" t="str">
            <v>Complicated</v>
          </cell>
        </row>
        <row r="9">
          <cell r="C9">
            <v>0</v>
          </cell>
          <cell r="D9">
            <v>0</v>
          </cell>
          <cell r="E9">
            <v>0</v>
          </cell>
          <cell r="F9">
            <v>0</v>
          </cell>
          <cell r="H9" t="str">
            <v>NA</v>
          </cell>
        </row>
        <row r="10">
          <cell r="C10">
            <v>0</v>
          </cell>
          <cell r="D10">
            <v>0</v>
          </cell>
          <cell r="E10">
            <v>0</v>
          </cell>
          <cell r="F10">
            <v>0</v>
          </cell>
          <cell r="H10" t="str">
            <v>Low</v>
          </cell>
        </row>
        <row r="11">
          <cell r="H11" t="str">
            <v>Medium</v>
          </cell>
        </row>
        <row r="12">
          <cell r="H12" t="str">
            <v>High</v>
          </cell>
        </row>
        <row r="13">
          <cell r="C13" t="str">
            <v>Simple</v>
          </cell>
        </row>
        <row r="18">
          <cell r="A18" t="str">
            <v>All Elements Already Exist in NIEM</v>
          </cell>
        </row>
        <row r="19">
          <cell r="A19" t="str">
            <v>Many (&gt;50%) Elements Already Exist in NIEM</v>
          </cell>
        </row>
        <row r="20">
          <cell r="A20" t="str">
            <v>Some (&lt;50%) Elements Already Exist in NIEM</v>
          </cell>
        </row>
        <row r="21">
          <cell r="A21" t="str">
            <v>No Elements Already Exist in NIEM</v>
          </cell>
        </row>
        <row r="25">
          <cell r="C25" t="str">
            <v>NO</v>
          </cell>
        </row>
        <row r="26">
          <cell r="C26" t="str">
            <v>All Elements Already Exist in NIEM</v>
          </cell>
        </row>
      </sheetData>
      <sheetData sheetId="4">
        <row r="8">
          <cell r="C8" t="str">
            <v>Internal</v>
          </cell>
          <cell r="D8" t="str">
            <v>External</v>
          </cell>
        </row>
        <row r="9">
          <cell r="F9">
            <v>0</v>
          </cell>
        </row>
        <row r="10">
          <cell r="F10">
            <v>0</v>
          </cell>
        </row>
        <row r="11">
          <cell r="F11">
            <v>0</v>
          </cell>
        </row>
        <row r="12">
          <cell r="F12">
            <v>0</v>
          </cell>
        </row>
        <row r="13">
          <cell r="F13">
            <v>0</v>
          </cell>
        </row>
        <row r="14">
          <cell r="F14">
            <v>0</v>
          </cell>
        </row>
        <row r="15">
          <cell r="F15">
            <v>0</v>
          </cell>
        </row>
        <row r="16">
          <cell r="F16">
            <v>0</v>
          </cell>
        </row>
        <row r="17">
          <cell r="F17">
            <v>0</v>
          </cell>
        </row>
        <row r="18">
          <cell r="F18">
            <v>0</v>
          </cell>
        </row>
        <row r="22">
          <cell r="C22">
            <v>0</v>
          </cell>
          <cell r="D22">
            <v>0</v>
          </cell>
          <cell r="E22">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34998626667073579"/>
  </sheetPr>
  <dimension ref="A2:B6"/>
  <sheetViews>
    <sheetView zoomScaleNormal="100" workbookViewId="0">
      <selection activeCell="F7" sqref="F7"/>
    </sheetView>
  </sheetViews>
  <sheetFormatPr defaultColWidth="9.109375" defaultRowHeight="13.2" x14ac:dyDescent="0.25"/>
  <cols>
    <col min="1" max="1" width="3.88671875" style="24" customWidth="1"/>
    <col min="2" max="2" width="61.109375" style="24" customWidth="1"/>
    <col min="3" max="16384" width="9.109375" style="24"/>
  </cols>
  <sheetData>
    <row r="2" spans="1:2" s="80" customFormat="1" ht="60.75" thickBot="1" x14ac:dyDescent="0.85">
      <c r="A2" s="25"/>
      <c r="B2" s="79" t="s">
        <v>185</v>
      </c>
    </row>
    <row r="3" spans="1:2" ht="44.25" x14ac:dyDescent="0.55000000000000004">
      <c r="B3" s="81" t="s">
        <v>186</v>
      </c>
    </row>
    <row r="4" spans="1:2" ht="34.5" x14ac:dyDescent="0.45">
      <c r="B4" s="82"/>
    </row>
    <row r="5" spans="1:2" ht="34.5" x14ac:dyDescent="0.45">
      <c r="B5" s="82"/>
    </row>
    <row r="6" spans="1:2" ht="25.5" x14ac:dyDescent="0.35">
      <c r="B6" s="83">
        <f ca="1">TODAY()</f>
        <v>41135</v>
      </c>
    </row>
  </sheetData>
  <pageMargins left="0.5" right="0.5" top="1" bottom="1" header="0.5" footer="0.5"/>
  <pageSetup paperSize="5"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M16"/>
  <sheetViews>
    <sheetView showGridLines="0" zoomScale="80" zoomScaleNormal="80" workbookViewId="0">
      <selection sqref="A1:XFD1"/>
    </sheetView>
  </sheetViews>
  <sheetFormatPr defaultColWidth="9.109375" defaultRowHeight="13.2" x14ac:dyDescent="0.25"/>
  <cols>
    <col min="1" max="1" width="2.33203125" style="3" customWidth="1"/>
    <col min="2" max="10" width="9.109375" style="3"/>
    <col min="11" max="11" width="15.33203125" style="3" customWidth="1"/>
    <col min="12" max="12" width="40.44140625" style="3" customWidth="1"/>
    <col min="13" max="13" width="33" style="3" customWidth="1"/>
    <col min="14" max="16384" width="9.109375" style="3"/>
  </cols>
  <sheetData>
    <row r="1" spans="1:13" s="107" customFormat="1" ht="71.25" customHeight="1" x14ac:dyDescent="0.6"/>
    <row r="2" spans="1:13" s="74" customFormat="1" ht="20.25" customHeight="1" x14ac:dyDescent="0.6">
      <c r="A2" s="72" t="s">
        <v>184</v>
      </c>
      <c r="B2" s="73"/>
    </row>
    <row r="3" spans="1:13" s="76" customFormat="1" ht="19.5" customHeight="1" x14ac:dyDescent="0.6">
      <c r="A3" s="75" t="s">
        <v>187</v>
      </c>
    </row>
    <row r="4" spans="1:13" s="106" customFormat="1" ht="19.5" customHeight="1" x14ac:dyDescent="0.6">
      <c r="A4" s="77"/>
    </row>
    <row r="5" spans="1:13" ht="23.1" customHeight="1" x14ac:dyDescent="0.25">
      <c r="A5" s="24"/>
      <c r="B5" s="114" t="s">
        <v>114</v>
      </c>
      <c r="C5" s="115"/>
      <c r="D5" s="115"/>
      <c r="E5" s="115"/>
      <c r="F5" s="115"/>
      <c r="G5" s="115"/>
      <c r="H5" s="115"/>
      <c r="I5" s="115"/>
      <c r="J5" s="115"/>
      <c r="K5" s="115"/>
      <c r="L5" s="116"/>
      <c r="M5" s="24"/>
    </row>
    <row r="6" spans="1:13" ht="131.25" customHeight="1" x14ac:dyDescent="0.25">
      <c r="A6" s="24"/>
      <c r="B6" s="117" t="s">
        <v>191</v>
      </c>
      <c r="C6" s="118"/>
      <c r="D6" s="118"/>
      <c r="E6" s="118"/>
      <c r="F6" s="118"/>
      <c r="G6" s="118"/>
      <c r="H6" s="118"/>
      <c r="I6" s="118"/>
      <c r="J6" s="118"/>
      <c r="K6" s="118"/>
      <c r="L6" s="119"/>
      <c r="M6" s="24"/>
    </row>
    <row r="7" spans="1:13" ht="12.75" customHeight="1" x14ac:dyDescent="0.25">
      <c r="A7" s="24"/>
      <c r="B7" s="35"/>
      <c r="C7" s="25"/>
      <c r="D7" s="25"/>
      <c r="E7" s="25"/>
      <c r="F7" s="25"/>
      <c r="G7" s="25"/>
      <c r="H7" s="25"/>
      <c r="I7" s="25"/>
      <c r="J7" s="25"/>
      <c r="K7" s="25"/>
      <c r="L7" s="34"/>
      <c r="M7" s="24"/>
    </row>
    <row r="8" spans="1:13" ht="23.1" customHeight="1" x14ac:dyDescent="0.25">
      <c r="A8" s="24"/>
      <c r="B8" s="114" t="s">
        <v>115</v>
      </c>
      <c r="C8" s="115"/>
      <c r="D8" s="115"/>
      <c r="E8" s="115"/>
      <c r="F8" s="115"/>
      <c r="G8" s="115"/>
      <c r="H8" s="115"/>
      <c r="I8" s="115"/>
      <c r="J8" s="115"/>
      <c r="K8" s="115"/>
      <c r="L8" s="116"/>
      <c r="M8" s="24"/>
    </row>
    <row r="9" spans="1:13" ht="37.5" customHeight="1" x14ac:dyDescent="0.25">
      <c r="A9" s="24"/>
      <c r="B9" s="117" t="s">
        <v>175</v>
      </c>
      <c r="C9" s="118"/>
      <c r="D9" s="118"/>
      <c r="E9" s="118"/>
      <c r="F9" s="118"/>
      <c r="G9" s="118"/>
      <c r="H9" s="118"/>
      <c r="I9" s="118"/>
      <c r="J9" s="118"/>
      <c r="K9" s="118"/>
      <c r="L9" s="119"/>
      <c r="M9" s="24"/>
    </row>
    <row r="10" spans="1:13" ht="152.25" customHeight="1" x14ac:dyDescent="0.25">
      <c r="A10" s="24"/>
      <c r="B10" s="117" t="s">
        <v>192</v>
      </c>
      <c r="C10" s="118"/>
      <c r="D10" s="118"/>
      <c r="E10" s="118"/>
      <c r="F10" s="118"/>
      <c r="G10" s="118"/>
      <c r="H10" s="118"/>
      <c r="I10" s="118"/>
      <c r="J10" s="118"/>
      <c r="K10" s="118"/>
      <c r="L10" s="119"/>
      <c r="M10" s="24"/>
    </row>
    <row r="11" spans="1:13" ht="24.75" customHeight="1" x14ac:dyDescent="0.25">
      <c r="A11" s="24"/>
      <c r="B11" s="108" t="s">
        <v>154</v>
      </c>
      <c r="C11" s="109"/>
      <c r="D11" s="109"/>
      <c r="E11" s="109"/>
      <c r="F11" s="109"/>
      <c r="G11" s="109"/>
      <c r="H11" s="109"/>
      <c r="I11" s="109"/>
      <c r="J11" s="109"/>
      <c r="K11" s="109"/>
      <c r="L11" s="110"/>
      <c r="M11" s="24"/>
    </row>
    <row r="12" spans="1:13" ht="59.25" customHeight="1" x14ac:dyDescent="0.3">
      <c r="A12" s="24"/>
      <c r="B12" s="111" t="s">
        <v>193</v>
      </c>
      <c r="C12" s="112"/>
      <c r="D12" s="112"/>
      <c r="E12" s="112"/>
      <c r="F12" s="112"/>
      <c r="G12" s="112"/>
      <c r="H12" s="112"/>
      <c r="I12" s="112"/>
      <c r="J12" s="112"/>
      <c r="K12" s="112"/>
      <c r="L12" s="113"/>
      <c r="M12" s="24"/>
    </row>
    <row r="13" spans="1:13" x14ac:dyDescent="0.25">
      <c r="A13" s="24"/>
      <c r="B13" s="36"/>
      <c r="C13" s="37"/>
      <c r="D13" s="37"/>
      <c r="E13" s="37"/>
      <c r="F13" s="37"/>
      <c r="G13" s="37"/>
      <c r="H13" s="37"/>
      <c r="I13" s="37"/>
      <c r="J13" s="37"/>
      <c r="K13" s="37"/>
      <c r="L13" s="38"/>
      <c r="M13" s="24"/>
    </row>
    <row r="14" spans="1:13" x14ac:dyDescent="0.25">
      <c r="A14" s="24"/>
      <c r="B14" s="24"/>
      <c r="C14" s="24"/>
      <c r="D14" s="24"/>
      <c r="E14" s="24"/>
      <c r="F14" s="24"/>
      <c r="G14" s="24"/>
      <c r="H14" s="24"/>
      <c r="I14" s="24"/>
      <c r="J14" s="24"/>
      <c r="K14" s="24"/>
      <c r="L14" s="24"/>
      <c r="M14" s="24"/>
    </row>
    <row r="15" spans="1:13" x14ac:dyDescent="0.25">
      <c r="A15" s="24"/>
      <c r="B15" s="24"/>
      <c r="C15" s="24"/>
      <c r="D15" s="24"/>
      <c r="E15" s="24"/>
      <c r="F15" s="24"/>
      <c r="G15" s="24"/>
      <c r="H15" s="24"/>
      <c r="I15" s="24"/>
      <c r="J15" s="24"/>
      <c r="K15" s="24"/>
      <c r="L15" s="24"/>
      <c r="M15" s="24"/>
    </row>
    <row r="16" spans="1:13" x14ac:dyDescent="0.25">
      <c r="A16" s="24"/>
      <c r="B16" s="24"/>
      <c r="C16" s="24"/>
      <c r="D16" s="24"/>
      <c r="E16" s="24"/>
      <c r="F16" s="24"/>
      <c r="G16" s="24"/>
      <c r="H16" s="24"/>
      <c r="I16" s="24"/>
      <c r="J16" s="24"/>
      <c r="K16" s="24"/>
      <c r="L16" s="24"/>
      <c r="M16" s="24"/>
    </row>
  </sheetData>
  <mergeCells count="8">
    <mergeCell ref="A1:XFD1"/>
    <mergeCell ref="B11:L11"/>
    <mergeCell ref="B12:L12"/>
    <mergeCell ref="B5:L5"/>
    <mergeCell ref="B6:L6"/>
    <mergeCell ref="B8:L8"/>
    <mergeCell ref="B9:L9"/>
    <mergeCell ref="B10:L10"/>
  </mergeCells>
  <pageMargins left="0.5" right="0.5" top="1" bottom="1" header="0.5" footer="0.5"/>
  <pageSetup scale="70" orientation="portrait" horizontalDpi="1200" verticalDpi="12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sheetPr>
  <dimension ref="A1:R59"/>
  <sheetViews>
    <sheetView showGridLines="0" topLeftCell="A2" zoomScale="75" zoomScaleNormal="75" workbookViewId="0">
      <selection activeCell="E15" sqref="E15:F15"/>
    </sheetView>
  </sheetViews>
  <sheetFormatPr defaultColWidth="9.109375" defaultRowHeight="13.2" x14ac:dyDescent="0.25"/>
  <cols>
    <col min="1" max="1" width="3.33203125" style="3" customWidth="1"/>
    <col min="2" max="2" width="9.109375" style="3" customWidth="1"/>
    <col min="3" max="3" width="9.109375" style="3"/>
    <col min="4" max="4" width="10" style="3" customWidth="1"/>
    <col min="5" max="16384" width="9.109375" style="3"/>
  </cols>
  <sheetData>
    <row r="1" spans="1:18" s="107" customFormat="1" ht="71.25" customHeight="1" x14ac:dyDescent="0.5"/>
    <row r="2" spans="1:18" s="74" customFormat="1" ht="20.25" customHeight="1" x14ac:dyDescent="0.5">
      <c r="A2" s="72" t="s">
        <v>184</v>
      </c>
      <c r="B2" s="73"/>
    </row>
    <row r="3" spans="1:18" s="76" customFormat="1" ht="27" customHeight="1" x14ac:dyDescent="0.5">
      <c r="A3" s="75" t="s">
        <v>188</v>
      </c>
    </row>
    <row r="5" spans="1:18" s="2" customFormat="1" ht="23.25" customHeight="1" x14ac:dyDescent="0.3">
      <c r="B5" s="127" t="s">
        <v>189</v>
      </c>
      <c r="C5" s="128"/>
      <c r="D5" s="128"/>
      <c r="E5" s="128"/>
      <c r="F5" s="128"/>
      <c r="G5" s="128"/>
      <c r="H5" s="128"/>
      <c r="I5" s="128"/>
      <c r="J5" s="128"/>
      <c r="K5" s="128"/>
      <c r="L5" s="128"/>
      <c r="M5" s="128"/>
      <c r="N5" s="128"/>
      <c r="O5" s="128"/>
      <c r="P5" s="128"/>
      <c r="Q5" s="128"/>
      <c r="R5" s="129"/>
    </row>
    <row r="6" spans="1:18" s="2" customFormat="1" ht="24" customHeight="1" x14ac:dyDescent="0.25">
      <c r="B6" s="130" t="s">
        <v>0</v>
      </c>
      <c r="C6" s="131"/>
      <c r="D6" s="131"/>
      <c r="E6" s="132"/>
      <c r="F6" s="134"/>
      <c r="G6" s="135"/>
      <c r="H6" s="135"/>
      <c r="I6" s="135"/>
      <c r="J6" s="135"/>
      <c r="K6" s="135"/>
      <c r="L6" s="135"/>
      <c r="M6" s="135"/>
      <c r="N6" s="135"/>
      <c r="O6" s="135"/>
      <c r="P6" s="135"/>
      <c r="Q6" s="135"/>
      <c r="R6" s="136"/>
    </row>
    <row r="7" spans="1:18" customFormat="1" ht="24" customHeight="1" x14ac:dyDescent="0.25">
      <c r="A7" s="2"/>
      <c r="B7" s="133" t="s">
        <v>1</v>
      </c>
      <c r="C7" s="133"/>
      <c r="D7" s="133"/>
      <c r="E7" s="133"/>
      <c r="F7" s="137"/>
      <c r="G7" s="137"/>
      <c r="H7" s="137"/>
      <c r="I7" s="137"/>
      <c r="J7" s="137"/>
      <c r="K7" s="137"/>
      <c r="L7" s="137"/>
      <c r="M7" s="137"/>
      <c r="N7" s="137"/>
      <c r="O7" s="137"/>
      <c r="P7" s="137"/>
      <c r="Q7" s="137"/>
      <c r="R7" s="137"/>
    </row>
    <row r="8" spans="1:18" customFormat="1" ht="24" customHeight="1" x14ac:dyDescent="0.25">
      <c r="A8" s="2"/>
      <c r="B8" s="133" t="s">
        <v>2</v>
      </c>
      <c r="C8" s="133"/>
      <c r="D8" s="133"/>
      <c r="E8" s="133"/>
      <c r="F8" s="137"/>
      <c r="G8" s="137"/>
      <c r="H8" s="137"/>
      <c r="I8" s="137"/>
      <c r="J8" s="137"/>
      <c r="K8" s="137"/>
      <c r="L8" s="137"/>
      <c r="M8" s="137"/>
      <c r="N8" s="137"/>
      <c r="O8" s="137"/>
      <c r="P8" s="137"/>
      <c r="Q8" s="137"/>
      <c r="R8" s="137"/>
    </row>
    <row r="10" spans="1:18" ht="20.25" x14ac:dyDescent="0.3">
      <c r="B10" s="139" t="s">
        <v>7</v>
      </c>
      <c r="C10" s="140"/>
      <c r="D10" s="140"/>
      <c r="E10" s="140"/>
      <c r="F10" s="140"/>
    </row>
    <row r="11" spans="1:18" ht="15.75" x14ac:dyDescent="0.2">
      <c r="B11" s="141" t="s">
        <v>58</v>
      </c>
      <c r="C11" s="142"/>
      <c r="D11" s="143"/>
      <c r="E11" s="138" t="s">
        <v>5</v>
      </c>
      <c r="F11" s="138"/>
    </row>
    <row r="12" spans="1:18" ht="15.75" x14ac:dyDescent="0.25">
      <c r="B12" s="120" t="s">
        <v>15</v>
      </c>
      <c r="C12" s="121"/>
      <c r="D12" s="122"/>
      <c r="E12" s="123">
        <f>'Business Need'!F11</f>
        <v>0</v>
      </c>
      <c r="F12" s="124"/>
    </row>
    <row r="13" spans="1:18" ht="15.75" x14ac:dyDescent="0.25">
      <c r="B13" s="120" t="s">
        <v>23</v>
      </c>
      <c r="C13" s="121"/>
      <c r="D13" s="122"/>
      <c r="E13" s="123">
        <f>'Stakeholder Community'!F13</f>
        <v>0</v>
      </c>
      <c r="F13" s="124"/>
    </row>
    <row r="14" spans="1:18" ht="18" x14ac:dyDescent="0.25">
      <c r="B14" s="120" t="s">
        <v>22</v>
      </c>
      <c r="C14" s="121"/>
      <c r="D14" s="122"/>
      <c r="E14" s="123">
        <f>'Planning Process'!F12</f>
        <v>0</v>
      </c>
      <c r="F14" s="124"/>
      <c r="H14" s="41" t="s">
        <v>156</v>
      </c>
      <c r="I14" s="125" t="s">
        <v>116</v>
      </c>
      <c r="J14" s="126"/>
      <c r="K14" s="43" t="s">
        <v>126</v>
      </c>
    </row>
    <row r="15" spans="1:18" ht="17.399999999999999" x14ac:dyDescent="0.3">
      <c r="B15" s="120" t="s">
        <v>21</v>
      </c>
      <c r="C15" s="121"/>
      <c r="D15" s="122"/>
      <c r="E15" s="123">
        <f>'Technical Capability'!F14</f>
        <v>0</v>
      </c>
      <c r="F15" s="124"/>
      <c r="H15" s="42" t="s">
        <v>155</v>
      </c>
      <c r="I15" s="125" t="s">
        <v>153</v>
      </c>
      <c r="J15" s="126"/>
      <c r="K15" s="44" t="s">
        <v>127</v>
      </c>
    </row>
    <row r="58" spans="8:11" ht="17.399999999999999" x14ac:dyDescent="0.3">
      <c r="H58" s="41"/>
      <c r="I58" s="125" t="s">
        <v>116</v>
      </c>
      <c r="J58" s="126"/>
      <c r="K58" s="43" t="s">
        <v>126</v>
      </c>
    </row>
    <row r="59" spans="8:11" ht="17.399999999999999" x14ac:dyDescent="0.25">
      <c r="H59" s="42"/>
      <c r="I59" s="125" t="s">
        <v>153</v>
      </c>
      <c r="J59" s="126"/>
      <c r="K59" s="44" t="s">
        <v>127</v>
      </c>
    </row>
  </sheetData>
  <mergeCells count="23">
    <mergeCell ref="A1:XFD1"/>
    <mergeCell ref="I58:J58"/>
    <mergeCell ref="I59:J59"/>
    <mergeCell ref="B5:R5"/>
    <mergeCell ref="B6:E6"/>
    <mergeCell ref="B7:E7"/>
    <mergeCell ref="B8:E8"/>
    <mergeCell ref="F6:R6"/>
    <mergeCell ref="F7:R7"/>
    <mergeCell ref="F8:R8"/>
    <mergeCell ref="E11:F11"/>
    <mergeCell ref="I14:J14"/>
    <mergeCell ref="I15:J15"/>
    <mergeCell ref="B10:F10"/>
    <mergeCell ref="B11:D11"/>
    <mergeCell ref="B12:D12"/>
    <mergeCell ref="B13:D13"/>
    <mergeCell ref="B14:D14"/>
    <mergeCell ref="B15:D15"/>
    <mergeCell ref="E12:F12"/>
    <mergeCell ref="E13:F13"/>
    <mergeCell ref="E14:F14"/>
    <mergeCell ref="E15:F15"/>
  </mergeCells>
  <conditionalFormatting sqref="E12:F15">
    <cfRule type="cellIs" dxfId="29" priority="1" operator="lessThan">
      <formula>0.9</formula>
    </cfRule>
    <cfRule type="cellIs" dxfId="28" priority="2" operator="greaterThanOrEqual">
      <formula>0.9</formula>
    </cfRule>
  </conditionalFormatting>
  <pageMargins left="0.75" right="0.75" top="1" bottom="1" header="0.5" footer="0.5"/>
  <pageSetup scale="52"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sheetPr>
  <dimension ref="A1:U13"/>
  <sheetViews>
    <sheetView showGridLines="0" tabSelected="1" zoomScale="50" zoomScaleNormal="50" workbookViewId="0">
      <pane xSplit="11" ySplit="6" topLeftCell="U7" activePane="bottomRight" state="frozen"/>
      <selection pane="topRight" activeCell="L1" sqref="L1"/>
      <selection pane="bottomLeft" activeCell="A4" sqref="A4"/>
      <selection pane="bottomRight" activeCell="G2" sqref="G2"/>
    </sheetView>
  </sheetViews>
  <sheetFormatPr defaultRowHeight="14.4" x14ac:dyDescent="0.3"/>
  <cols>
    <col min="1" max="1" width="32.5546875" customWidth="1"/>
    <col min="2" max="3" width="18.44140625" customWidth="1"/>
    <col min="4" max="6" width="18.44140625" style="2" customWidth="1"/>
    <col min="7" max="11" width="21.6640625" customWidth="1"/>
    <col min="14" max="14" width="9" customWidth="1"/>
  </cols>
  <sheetData>
    <row r="1" spans="1:21" s="107" customFormat="1" ht="71.25" customHeight="1" x14ac:dyDescent="0.5"/>
    <row r="2" spans="1:21" ht="20.25" customHeight="1" x14ac:dyDescent="0.5">
      <c r="A2" s="72" t="s">
        <v>184</v>
      </c>
      <c r="B2" s="73"/>
      <c r="C2" s="74"/>
      <c r="D2" s="74"/>
      <c r="E2" s="74"/>
      <c r="F2" s="74"/>
      <c r="G2" s="74"/>
      <c r="H2" s="74"/>
      <c r="I2" s="74"/>
      <c r="J2" s="74"/>
      <c r="K2" s="74"/>
    </row>
    <row r="3" spans="1:21" ht="27" customHeight="1" x14ac:dyDescent="0.3">
      <c r="A3" s="144" t="s">
        <v>176</v>
      </c>
      <c r="B3" s="145"/>
      <c r="C3" s="145"/>
      <c r="D3" s="145"/>
      <c r="E3" s="145"/>
      <c r="F3" s="145"/>
      <c r="G3" s="145"/>
      <c r="H3" s="145"/>
      <c r="I3" s="145"/>
      <c r="J3" s="145"/>
      <c r="K3" s="145"/>
    </row>
    <row r="4" spans="1:21" s="78" customFormat="1" ht="36.75" customHeight="1" x14ac:dyDescent="0.5">
      <c r="A4" s="84"/>
      <c r="B4" s="86" t="s">
        <v>190</v>
      </c>
      <c r="C4" s="85"/>
      <c r="D4" s="85"/>
      <c r="E4" s="85"/>
      <c r="F4" s="85"/>
      <c r="G4" s="85"/>
      <c r="H4" s="85"/>
      <c r="I4" s="85"/>
      <c r="J4" s="85"/>
      <c r="K4" s="85"/>
    </row>
    <row r="5" spans="1:21" s="17" customFormat="1" ht="20.399999999999999" x14ac:dyDescent="0.35">
      <c r="A5" s="158" t="s">
        <v>117</v>
      </c>
      <c r="B5" s="158" t="s">
        <v>8</v>
      </c>
      <c r="C5" s="158"/>
      <c r="D5" s="149" t="s">
        <v>4</v>
      </c>
      <c r="E5" s="150"/>
      <c r="F5" s="52" t="s">
        <v>5</v>
      </c>
      <c r="G5" s="146" t="s">
        <v>177</v>
      </c>
      <c r="H5" s="147"/>
      <c r="I5" s="147"/>
      <c r="J5" s="147"/>
      <c r="K5" s="148"/>
      <c r="L5" s="19"/>
      <c r="M5" s="19"/>
      <c r="N5" s="19"/>
      <c r="O5" s="19"/>
      <c r="P5" s="19"/>
      <c r="Q5" s="19"/>
      <c r="R5" s="19"/>
      <c r="S5" s="19"/>
      <c r="T5" s="19"/>
      <c r="U5" s="19"/>
    </row>
    <row r="6" spans="1:21" s="16" customFormat="1" ht="15.6" x14ac:dyDescent="0.3">
      <c r="A6" s="158"/>
      <c r="B6" s="158"/>
      <c r="C6" s="158"/>
      <c r="D6" s="46" t="s">
        <v>116</v>
      </c>
      <c r="E6" s="46" t="s">
        <v>6</v>
      </c>
      <c r="F6" s="49" t="s">
        <v>183</v>
      </c>
      <c r="G6" s="23">
        <v>1</v>
      </c>
      <c r="H6" s="23">
        <v>2</v>
      </c>
      <c r="I6" s="23">
        <v>3</v>
      </c>
      <c r="J6" s="23">
        <v>4</v>
      </c>
      <c r="K6" s="23">
        <v>5</v>
      </c>
      <c r="L6" s="21"/>
      <c r="M6" s="21"/>
      <c r="N6" s="21"/>
      <c r="O6" s="21"/>
      <c r="P6" s="21"/>
      <c r="Q6" s="21"/>
      <c r="R6" s="21"/>
      <c r="S6" s="21"/>
      <c r="T6" s="21"/>
      <c r="U6" s="21"/>
    </row>
    <row r="7" spans="1:21" s="14" customFormat="1" ht="105.6" x14ac:dyDescent="0.3">
      <c r="A7" s="89" t="s">
        <v>179</v>
      </c>
      <c r="B7" s="157" t="s">
        <v>129</v>
      </c>
      <c r="C7" s="157"/>
      <c r="D7" s="87">
        <v>3</v>
      </c>
      <c r="E7" s="97"/>
      <c r="F7" s="90">
        <f>IF((E7/D7)&gt;1, 1, (E7/D7))</f>
        <v>0</v>
      </c>
      <c r="G7" s="91" t="s">
        <v>157</v>
      </c>
      <c r="H7" s="91" t="s">
        <v>158</v>
      </c>
      <c r="I7" s="91" t="s">
        <v>159</v>
      </c>
      <c r="J7" s="91" t="s">
        <v>160</v>
      </c>
      <c r="K7" s="91" t="s">
        <v>161</v>
      </c>
      <c r="L7" s="22"/>
      <c r="M7" s="22"/>
      <c r="N7" s="22"/>
      <c r="O7" s="22"/>
      <c r="P7" s="22"/>
      <c r="Q7" s="22"/>
      <c r="R7" s="22"/>
      <c r="S7" s="22"/>
      <c r="T7" s="22"/>
      <c r="U7" s="22"/>
    </row>
    <row r="8" spans="1:21" s="14" customFormat="1" ht="109.5" customHeight="1" x14ac:dyDescent="0.3">
      <c r="A8" s="94" t="s">
        <v>46</v>
      </c>
      <c r="B8" s="155" t="s">
        <v>130</v>
      </c>
      <c r="C8" s="156"/>
      <c r="D8" s="87">
        <v>3</v>
      </c>
      <c r="E8" s="97"/>
      <c r="F8" s="90">
        <f>IF((E8/D8)&gt;1, 1, (E8/D8))</f>
        <v>0</v>
      </c>
      <c r="G8" s="95" t="s">
        <v>162</v>
      </c>
      <c r="H8" s="96" t="s">
        <v>163</v>
      </c>
      <c r="I8" s="96" t="s">
        <v>164</v>
      </c>
      <c r="J8" s="96" t="s">
        <v>165</v>
      </c>
      <c r="K8" s="95" t="s">
        <v>166</v>
      </c>
      <c r="L8" s="22"/>
      <c r="M8" s="22"/>
      <c r="N8" s="22"/>
      <c r="O8" s="22"/>
      <c r="P8" s="22"/>
      <c r="Q8" s="22"/>
      <c r="R8" s="22"/>
      <c r="S8" s="22"/>
      <c r="T8" s="22"/>
      <c r="U8" s="22"/>
    </row>
    <row r="9" spans="1:21" s="14" customFormat="1" ht="97.5" customHeight="1" x14ac:dyDescent="0.3">
      <c r="A9" s="89" t="s">
        <v>25</v>
      </c>
      <c r="B9" s="153" t="s">
        <v>132</v>
      </c>
      <c r="C9" s="154"/>
      <c r="D9" s="87">
        <v>3</v>
      </c>
      <c r="E9" s="88"/>
      <c r="F9" s="90">
        <f>IF((E9/D9)&gt;1, 1, (E9/D9))</f>
        <v>0</v>
      </c>
      <c r="G9" s="91" t="s">
        <v>168</v>
      </c>
      <c r="H9" s="91" t="s">
        <v>169</v>
      </c>
      <c r="I9" s="91" t="s">
        <v>170</v>
      </c>
      <c r="J9" s="91" t="s">
        <v>171</v>
      </c>
      <c r="K9" s="91" t="s">
        <v>167</v>
      </c>
      <c r="L9" s="22"/>
      <c r="M9" s="22"/>
      <c r="N9" s="22"/>
      <c r="O9" s="22"/>
      <c r="P9" s="22"/>
      <c r="Q9" s="22"/>
      <c r="R9" s="22"/>
      <c r="S9" s="22"/>
      <c r="T9" s="22"/>
      <c r="U9" s="22"/>
    </row>
    <row r="10" spans="1:21" s="14" customFormat="1" ht="222.75" customHeight="1" x14ac:dyDescent="0.3">
      <c r="A10" s="89" t="s">
        <v>24</v>
      </c>
      <c r="B10" s="153" t="s">
        <v>131</v>
      </c>
      <c r="C10" s="154"/>
      <c r="D10" s="87">
        <v>5</v>
      </c>
      <c r="E10" s="88"/>
      <c r="F10" s="90">
        <f>IF((E10/D10)&gt;1, 1, (E10/D10))</f>
        <v>0</v>
      </c>
      <c r="G10" s="91" t="s">
        <v>172</v>
      </c>
      <c r="H10" s="91" t="s">
        <v>173</v>
      </c>
      <c r="I10" s="91" t="s">
        <v>174</v>
      </c>
      <c r="J10" s="91" t="s">
        <v>118</v>
      </c>
      <c r="K10" s="92" t="s">
        <v>59</v>
      </c>
      <c r="L10" s="22"/>
      <c r="M10" s="22"/>
      <c r="N10" s="22"/>
      <c r="O10" s="22"/>
      <c r="P10" s="22"/>
      <c r="Q10" s="22"/>
      <c r="R10" s="22"/>
      <c r="S10" s="22"/>
      <c r="T10" s="22"/>
      <c r="U10" s="22"/>
    </row>
    <row r="11" spans="1:21" s="5" customFormat="1" ht="33" hidden="1" customHeight="1" x14ac:dyDescent="0.25">
      <c r="B11" s="151" t="s">
        <v>3</v>
      </c>
      <c r="C11" s="152"/>
      <c r="D11" s="40">
        <f>SUM(D7:D10)</f>
        <v>14</v>
      </c>
      <c r="E11" s="40">
        <f>SUM(IF(E7&gt;D7,D7,E7),IF(E8&gt;D8,D8,E8),IF(E9&gt;D9,D9,E9),IF(E10&gt;D10,D10,E10))</f>
        <v>0</v>
      </c>
      <c r="F11" s="48">
        <f>AVERAGE(F7:F10)</f>
        <v>0</v>
      </c>
    </row>
    <row r="12" spans="1:21" s="5" customFormat="1" ht="14.25" customHeight="1" x14ac:dyDescent="0.25"/>
    <row r="13" spans="1:21" s="5" customFormat="1" ht="12" x14ac:dyDescent="0.25"/>
  </sheetData>
  <dataConsolidate/>
  <mergeCells count="11">
    <mergeCell ref="A1:XFD1"/>
    <mergeCell ref="A3:K3"/>
    <mergeCell ref="G5:K5"/>
    <mergeCell ref="D5:E5"/>
    <mergeCell ref="B11:C11"/>
    <mergeCell ref="B10:C10"/>
    <mergeCell ref="B9:C9"/>
    <mergeCell ref="B8:C8"/>
    <mergeCell ref="B7:C7"/>
    <mergeCell ref="A5:A6"/>
    <mergeCell ref="B5:C6"/>
  </mergeCells>
  <conditionalFormatting sqref="F7:F10">
    <cfRule type="cellIs" dxfId="27" priority="1" operator="equal">
      <formula>0</formula>
    </cfRule>
    <cfRule type="cellIs" dxfId="26" priority="2" operator="lessThan">
      <formula>1</formula>
    </cfRule>
    <cfRule type="cellIs" dxfId="25" priority="3" operator="greaterThanOrEqual">
      <formula>1</formula>
    </cfRule>
  </conditionalFormatting>
  <pageMargins left="0.7" right="0.7" top="0.75" bottom="0.75" header="0.3" footer="0.3"/>
  <pageSetup scale="48" orientation="landscape"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ClearValuesBusiness" altText="Clear scores">
                <anchor moveWithCells="1" sizeWithCells="1">
                  <from>
                    <xdr:col>0</xdr:col>
                    <xdr:colOff>0</xdr:colOff>
                    <xdr:row>2</xdr:row>
                    <xdr:rowOff>335280</xdr:rowOff>
                  </from>
                  <to>
                    <xdr:col>0</xdr:col>
                    <xdr:colOff>2164080</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2"/>
  </sheetPr>
  <dimension ref="A1:MH43"/>
  <sheetViews>
    <sheetView showGridLines="0" zoomScale="50" zoomScaleNormal="50" workbookViewId="0">
      <pane xSplit="16" ySplit="6" topLeftCell="Q7" activePane="bottomRight" state="frozen"/>
      <selection pane="topRight" activeCell="Q1" sqref="Q1"/>
      <selection pane="bottomLeft" activeCell="A4" sqref="A4"/>
      <selection pane="bottomRight" activeCell="F9" sqref="F9"/>
    </sheetView>
  </sheetViews>
  <sheetFormatPr defaultColWidth="9.109375" defaultRowHeight="13.2" x14ac:dyDescent="0.25"/>
  <cols>
    <col min="1" max="1" width="37.6640625" style="1" customWidth="1"/>
    <col min="2" max="3" width="18.44140625" style="1" customWidth="1"/>
    <col min="4" max="6" width="18.44140625" style="3" customWidth="1"/>
    <col min="7" max="11" width="21.6640625" style="1" customWidth="1"/>
    <col min="12" max="12" width="22" style="1" hidden="1" customWidth="1"/>
    <col min="13" max="16" width="9.109375" style="1" hidden="1" customWidth="1"/>
    <col min="17" max="16384" width="9.109375" style="1"/>
  </cols>
  <sheetData>
    <row r="1" spans="1:346" s="107" customFormat="1" ht="71.25" customHeight="1" x14ac:dyDescent="0.5"/>
    <row r="2" spans="1:346" s="2" customFormat="1" ht="20.25" customHeight="1" x14ac:dyDescent="0.5">
      <c r="A2" s="72" t="s">
        <v>184</v>
      </c>
      <c r="B2" s="73"/>
      <c r="C2" s="74"/>
      <c r="D2" s="74"/>
      <c r="E2" s="74"/>
      <c r="F2" s="74"/>
      <c r="G2" s="74"/>
      <c r="H2" s="74"/>
      <c r="I2" s="74"/>
      <c r="J2" s="74"/>
      <c r="K2" s="74"/>
    </row>
    <row r="3" spans="1:346" s="2" customFormat="1" ht="27" customHeight="1" x14ac:dyDescent="0.3">
      <c r="A3" s="159" t="s">
        <v>178</v>
      </c>
      <c r="B3" s="160"/>
      <c r="C3" s="160"/>
      <c r="D3" s="160"/>
      <c r="E3" s="160"/>
      <c r="F3" s="160"/>
      <c r="G3" s="160"/>
      <c r="H3" s="160"/>
      <c r="I3" s="160"/>
      <c r="J3" s="160"/>
      <c r="K3" s="161"/>
    </row>
    <row r="4" spans="1:346" s="78" customFormat="1" ht="41.25" customHeight="1" x14ac:dyDescent="0.5">
      <c r="A4" s="84"/>
      <c r="B4" s="86" t="s">
        <v>190</v>
      </c>
      <c r="C4" s="85"/>
      <c r="D4" s="85"/>
      <c r="E4" s="85"/>
      <c r="F4" s="85"/>
      <c r="G4" s="85"/>
      <c r="H4" s="85"/>
      <c r="I4" s="85"/>
      <c r="J4" s="85"/>
      <c r="K4" s="85"/>
    </row>
    <row r="5" spans="1:346" s="17" customFormat="1" ht="21" x14ac:dyDescent="0.4">
      <c r="A5" s="158" t="s">
        <v>117</v>
      </c>
      <c r="B5" s="158" t="s">
        <v>8</v>
      </c>
      <c r="C5" s="158"/>
      <c r="D5" s="149" t="s">
        <v>4</v>
      </c>
      <c r="E5" s="150"/>
      <c r="F5" s="53" t="s">
        <v>5</v>
      </c>
      <c r="G5" s="164" t="s">
        <v>177</v>
      </c>
      <c r="H5" s="164"/>
      <c r="I5" s="164"/>
      <c r="J5" s="164"/>
      <c r="K5" s="164"/>
      <c r="L5" s="28"/>
      <c r="M5" s="28"/>
      <c r="N5" s="28"/>
      <c r="O5" s="28"/>
      <c r="P5" s="29"/>
      <c r="Q5" s="19"/>
      <c r="R5" s="19"/>
      <c r="S5" s="19"/>
      <c r="T5" s="19"/>
      <c r="U5" s="19"/>
      <c r="V5" s="19"/>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c r="HU5" s="18"/>
      <c r="HV5" s="18"/>
      <c r="HW5" s="18"/>
      <c r="HX5" s="18"/>
      <c r="HY5" s="18"/>
      <c r="HZ5" s="18"/>
      <c r="IA5" s="18"/>
      <c r="IB5" s="18"/>
      <c r="IC5" s="18"/>
      <c r="ID5" s="18"/>
      <c r="IE5" s="18"/>
      <c r="IF5" s="18"/>
      <c r="IG5" s="18"/>
      <c r="IH5" s="18"/>
      <c r="II5" s="18"/>
      <c r="IJ5" s="18"/>
      <c r="IK5" s="18"/>
      <c r="IL5" s="18"/>
      <c r="IM5" s="18"/>
      <c r="IN5" s="18"/>
      <c r="IO5" s="18"/>
      <c r="IP5" s="18"/>
      <c r="IQ5" s="18"/>
      <c r="IR5" s="18"/>
      <c r="IS5" s="18"/>
      <c r="IT5" s="18"/>
      <c r="IU5" s="18"/>
      <c r="IV5" s="18"/>
      <c r="IW5" s="18"/>
      <c r="IX5" s="18"/>
      <c r="IY5" s="18"/>
      <c r="IZ5" s="18"/>
      <c r="JA5" s="18"/>
      <c r="JB5" s="18"/>
      <c r="JC5" s="18"/>
      <c r="JD5" s="18"/>
      <c r="JE5" s="18"/>
      <c r="JF5" s="18"/>
      <c r="JG5" s="18"/>
      <c r="JH5" s="18"/>
      <c r="JI5" s="18"/>
      <c r="JJ5" s="18"/>
      <c r="JK5" s="18"/>
      <c r="JL5" s="18"/>
      <c r="JM5" s="18"/>
      <c r="JN5" s="18"/>
      <c r="JO5" s="18"/>
      <c r="JP5" s="18"/>
      <c r="JQ5" s="18"/>
      <c r="JR5" s="18"/>
      <c r="JS5" s="18"/>
      <c r="JT5" s="18"/>
      <c r="JU5" s="18"/>
      <c r="JV5" s="18"/>
      <c r="JW5" s="18"/>
      <c r="JX5" s="18"/>
      <c r="JY5" s="18"/>
      <c r="JZ5" s="18"/>
      <c r="KA5" s="18"/>
      <c r="KB5" s="18"/>
      <c r="KC5" s="18"/>
      <c r="KD5" s="18"/>
      <c r="KE5" s="18"/>
      <c r="KF5" s="18"/>
      <c r="KG5" s="18"/>
      <c r="KH5" s="18"/>
      <c r="KI5" s="18"/>
      <c r="KJ5" s="18"/>
      <c r="KK5" s="18"/>
      <c r="KL5" s="18"/>
      <c r="KM5" s="18"/>
      <c r="KN5" s="18"/>
      <c r="KO5" s="18"/>
      <c r="KP5" s="18"/>
      <c r="KQ5" s="18"/>
      <c r="KR5" s="18"/>
      <c r="KS5" s="18"/>
      <c r="KT5" s="18"/>
      <c r="KU5" s="18"/>
      <c r="KV5" s="18"/>
      <c r="KW5" s="18"/>
      <c r="KX5" s="18"/>
      <c r="KY5" s="18"/>
      <c r="KZ5" s="18"/>
      <c r="LA5" s="18"/>
      <c r="LB5" s="18"/>
      <c r="LC5" s="18"/>
      <c r="LD5" s="18"/>
      <c r="LE5" s="18"/>
      <c r="LF5" s="18"/>
      <c r="LG5" s="18"/>
      <c r="LH5" s="18"/>
      <c r="LI5" s="18"/>
      <c r="LJ5" s="18"/>
      <c r="LK5" s="18"/>
      <c r="LL5" s="18"/>
      <c r="LM5" s="18"/>
      <c r="LN5" s="18"/>
      <c r="LO5" s="18"/>
      <c r="LP5" s="18"/>
      <c r="LQ5" s="18"/>
      <c r="LR5" s="18"/>
      <c r="LS5" s="18"/>
      <c r="LT5" s="18"/>
      <c r="LU5" s="18"/>
      <c r="LV5" s="18"/>
      <c r="LW5" s="18"/>
      <c r="LX5" s="18"/>
      <c r="LY5" s="18"/>
      <c r="LZ5" s="18"/>
      <c r="MA5" s="18"/>
      <c r="MB5" s="18"/>
      <c r="MC5" s="18"/>
      <c r="MD5" s="18"/>
      <c r="ME5" s="18"/>
      <c r="MF5" s="18"/>
      <c r="MG5" s="18"/>
    </row>
    <row r="6" spans="1:346" s="10" customFormat="1" ht="15.6" x14ac:dyDescent="0.3">
      <c r="A6" s="158"/>
      <c r="B6" s="158"/>
      <c r="C6" s="158"/>
      <c r="D6" s="46" t="s">
        <v>116</v>
      </c>
      <c r="E6" s="46" t="s">
        <v>6</v>
      </c>
      <c r="F6" s="49" t="s">
        <v>183</v>
      </c>
      <c r="G6" s="23">
        <v>1</v>
      </c>
      <c r="H6" s="23">
        <v>2</v>
      </c>
      <c r="I6" s="23">
        <v>3</v>
      </c>
      <c r="J6" s="23">
        <v>4</v>
      </c>
      <c r="K6" s="23">
        <v>5</v>
      </c>
      <c r="L6" s="26"/>
      <c r="M6" s="26"/>
      <c r="N6" s="26"/>
      <c r="O6" s="26"/>
      <c r="P6" s="27"/>
      <c r="Q6" s="20"/>
      <c r="R6" s="20"/>
      <c r="S6" s="20"/>
      <c r="T6" s="20"/>
      <c r="U6" s="20"/>
      <c r="V6" s="20"/>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B6" s="9"/>
      <c r="JC6" s="9"/>
      <c r="JD6" s="9"/>
      <c r="JE6" s="9"/>
      <c r="JF6" s="9"/>
      <c r="JG6" s="9"/>
      <c r="JH6" s="9"/>
      <c r="JI6" s="9"/>
      <c r="JJ6" s="9"/>
      <c r="JK6" s="9"/>
      <c r="JL6" s="9"/>
      <c r="JM6" s="9"/>
      <c r="JN6" s="9"/>
      <c r="JO6" s="9"/>
      <c r="JP6" s="9"/>
      <c r="JQ6" s="9"/>
      <c r="JR6" s="9"/>
      <c r="JS6" s="9"/>
      <c r="JT6" s="9"/>
      <c r="JU6" s="9"/>
      <c r="JV6" s="9"/>
      <c r="JW6" s="9"/>
      <c r="JX6" s="9"/>
      <c r="JY6" s="9"/>
      <c r="JZ6" s="9"/>
      <c r="KA6" s="9"/>
      <c r="KB6" s="9"/>
      <c r="KC6" s="9"/>
      <c r="KD6" s="9"/>
      <c r="KE6" s="9"/>
      <c r="KF6" s="9"/>
      <c r="KG6" s="9"/>
      <c r="KH6" s="9"/>
      <c r="KI6" s="9"/>
      <c r="KJ6" s="9"/>
      <c r="KK6" s="9"/>
      <c r="KL6" s="9"/>
      <c r="KM6" s="9"/>
      <c r="KN6" s="9"/>
      <c r="KO6" s="9"/>
      <c r="KP6" s="9"/>
      <c r="KQ6" s="9"/>
      <c r="KR6" s="9"/>
      <c r="KS6" s="9"/>
      <c r="KT6" s="9"/>
      <c r="KU6" s="9"/>
      <c r="KV6" s="9"/>
      <c r="KW6" s="9"/>
      <c r="KX6" s="9"/>
      <c r="KY6" s="9"/>
      <c r="KZ6" s="9"/>
      <c r="LA6" s="9"/>
      <c r="LB6" s="9"/>
      <c r="LC6" s="9"/>
      <c r="LD6" s="9"/>
      <c r="LE6" s="9"/>
      <c r="LF6" s="9"/>
      <c r="LG6" s="9"/>
      <c r="LH6" s="9"/>
      <c r="LI6" s="9"/>
      <c r="LJ6" s="9"/>
      <c r="LK6" s="9"/>
      <c r="LL6" s="9"/>
      <c r="LM6" s="9"/>
      <c r="LN6" s="9"/>
      <c r="LO6" s="9"/>
      <c r="LP6" s="9"/>
      <c r="LQ6" s="9"/>
      <c r="LR6" s="9"/>
      <c r="LS6" s="9"/>
      <c r="LT6" s="9"/>
      <c r="LU6" s="9"/>
      <c r="LV6" s="9"/>
      <c r="LW6" s="9"/>
      <c r="LX6" s="9"/>
      <c r="LY6" s="9"/>
      <c r="LZ6" s="9"/>
      <c r="MA6" s="9"/>
      <c r="MB6" s="9"/>
      <c r="MC6" s="9"/>
      <c r="MD6" s="9"/>
      <c r="ME6" s="9"/>
      <c r="MF6" s="9"/>
      <c r="MG6" s="9"/>
      <c r="MH6" s="8"/>
    </row>
    <row r="7" spans="1:346" s="10" customFormat="1" ht="138.75" customHeight="1" x14ac:dyDescent="0.25">
      <c r="A7" s="102" t="s">
        <v>30</v>
      </c>
      <c r="B7" s="153" t="s">
        <v>133</v>
      </c>
      <c r="C7" s="154"/>
      <c r="D7" s="39">
        <v>3</v>
      </c>
      <c r="E7" s="39"/>
      <c r="F7" s="90">
        <f>IF((E7/D7)&gt;1, 1, (E7/D7))</f>
        <v>0</v>
      </c>
      <c r="G7" s="95" t="s">
        <v>34</v>
      </c>
      <c r="H7" s="95" t="s">
        <v>147</v>
      </c>
      <c r="I7" s="95" t="s">
        <v>148</v>
      </c>
      <c r="J7" s="95" t="s">
        <v>60</v>
      </c>
      <c r="K7" s="103" t="s">
        <v>61</v>
      </c>
      <c r="L7" s="20"/>
      <c r="M7" s="20"/>
      <c r="N7" s="20"/>
      <c r="O7" s="20"/>
      <c r="P7" s="20"/>
      <c r="Q7" s="20"/>
      <c r="R7" s="20"/>
      <c r="S7" s="20"/>
      <c r="T7" s="20"/>
      <c r="U7" s="20"/>
      <c r="V7" s="20"/>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8"/>
    </row>
    <row r="8" spans="1:346" s="10" customFormat="1" ht="114.75" customHeight="1" x14ac:dyDescent="0.25">
      <c r="A8" s="104" t="s">
        <v>18</v>
      </c>
      <c r="B8" s="165" t="s">
        <v>31</v>
      </c>
      <c r="C8" s="166"/>
      <c r="D8" s="39">
        <v>4</v>
      </c>
      <c r="E8" s="39"/>
      <c r="F8" s="90">
        <f>IF((E8/D8)&gt;1, 1, (E8/D8))</f>
        <v>0</v>
      </c>
      <c r="G8" s="91" t="s">
        <v>53</v>
      </c>
      <c r="H8" s="91" t="s">
        <v>96</v>
      </c>
      <c r="I8" s="91" t="s">
        <v>97</v>
      </c>
      <c r="J8" s="91" t="s">
        <v>119</v>
      </c>
      <c r="K8" s="91" t="s">
        <v>37</v>
      </c>
      <c r="L8" s="20"/>
      <c r="M8" s="20"/>
      <c r="N8" s="20"/>
      <c r="O8" s="20"/>
      <c r="P8" s="20"/>
      <c r="Q8" s="20"/>
      <c r="R8" s="9"/>
      <c r="S8" s="20"/>
      <c r="T8" s="20"/>
      <c r="U8" s="20"/>
      <c r="V8" s="20"/>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C8" s="9"/>
      <c r="JD8" s="9"/>
      <c r="JE8" s="9"/>
      <c r="JF8" s="9"/>
      <c r="JG8" s="9"/>
      <c r="JH8" s="9"/>
      <c r="JI8" s="9"/>
      <c r="JJ8" s="9"/>
      <c r="JK8" s="9"/>
      <c r="JL8" s="9"/>
      <c r="JM8" s="9"/>
      <c r="JN8" s="9"/>
      <c r="JO8" s="9"/>
      <c r="JP8" s="9"/>
      <c r="JQ8" s="9"/>
      <c r="JR8" s="9"/>
      <c r="JS8" s="9"/>
      <c r="JT8" s="9"/>
      <c r="JU8" s="9"/>
      <c r="JV8" s="9"/>
      <c r="JW8" s="9"/>
      <c r="JX8" s="9"/>
      <c r="JY8" s="9"/>
      <c r="JZ8" s="9"/>
      <c r="KA8" s="9"/>
      <c r="KB8" s="9"/>
      <c r="KC8" s="9"/>
      <c r="KD8" s="9"/>
      <c r="KE8" s="9"/>
      <c r="KF8" s="9"/>
      <c r="KG8" s="9"/>
      <c r="KH8" s="9"/>
      <c r="KI8" s="9"/>
      <c r="KJ8" s="9"/>
      <c r="KK8" s="9"/>
      <c r="KL8" s="9"/>
      <c r="KM8" s="9"/>
      <c r="KN8" s="9"/>
      <c r="KO8" s="9"/>
      <c r="KP8" s="9"/>
      <c r="KQ8" s="9"/>
      <c r="KR8" s="9"/>
      <c r="KS8" s="9"/>
      <c r="KT8" s="9"/>
      <c r="KU8" s="9"/>
      <c r="KV8" s="9"/>
      <c r="KW8" s="9"/>
      <c r="KX8" s="9"/>
      <c r="KY8" s="9"/>
      <c r="KZ8" s="9"/>
      <c r="LA8" s="9"/>
      <c r="LB8" s="9"/>
      <c r="LC8" s="9"/>
      <c r="LD8" s="9"/>
      <c r="LE8" s="9"/>
      <c r="LF8" s="9"/>
      <c r="LG8" s="9"/>
      <c r="LH8" s="9"/>
      <c r="LI8" s="9"/>
      <c r="LJ8" s="9"/>
      <c r="LK8" s="9"/>
      <c r="LL8" s="9"/>
      <c r="LM8" s="9"/>
      <c r="LN8" s="9"/>
      <c r="LO8" s="9"/>
      <c r="LP8" s="9"/>
      <c r="LQ8" s="9"/>
      <c r="LR8" s="9"/>
      <c r="LS8" s="9"/>
      <c r="LT8" s="9"/>
      <c r="LU8" s="9"/>
      <c r="LV8" s="9"/>
      <c r="LW8" s="9"/>
      <c r="LX8" s="9"/>
      <c r="LY8" s="9"/>
      <c r="LZ8" s="8"/>
    </row>
    <row r="9" spans="1:346" s="10" customFormat="1" ht="182.25" customHeight="1" x14ac:dyDescent="0.3">
      <c r="A9" s="104" t="s">
        <v>33</v>
      </c>
      <c r="B9" s="165" t="s">
        <v>134</v>
      </c>
      <c r="C9" s="166"/>
      <c r="D9" s="39">
        <v>3</v>
      </c>
      <c r="E9" s="39"/>
      <c r="F9" s="90">
        <f t="shared" ref="F9:F12" si="0">IF((E9/D9)&gt;1, 1, (E9/D9))</f>
        <v>0</v>
      </c>
      <c r="G9" s="91" t="s">
        <v>98</v>
      </c>
      <c r="H9" s="91" t="s">
        <v>99</v>
      </c>
      <c r="I9" s="91" t="s">
        <v>149</v>
      </c>
      <c r="J9" s="91" t="s">
        <v>100</v>
      </c>
      <c r="K9" s="91" t="s">
        <v>101</v>
      </c>
      <c r="L9" s="20"/>
      <c r="M9" s="20"/>
      <c r="N9" s="20"/>
      <c r="O9" s="20"/>
      <c r="P9" s="20"/>
      <c r="Q9" s="20"/>
      <c r="R9" s="20"/>
      <c r="S9" s="20"/>
      <c r="T9" s="20"/>
      <c r="U9" s="20"/>
      <c r="V9" s="20"/>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B9" s="9"/>
      <c r="JC9" s="9"/>
      <c r="JD9" s="9"/>
      <c r="JE9" s="9"/>
      <c r="JF9" s="9"/>
      <c r="JG9" s="9"/>
      <c r="JH9" s="9"/>
      <c r="JI9" s="9"/>
      <c r="JJ9" s="9"/>
      <c r="JK9" s="9"/>
      <c r="JL9" s="9"/>
      <c r="JM9" s="9"/>
      <c r="JN9" s="9"/>
      <c r="JO9" s="9"/>
      <c r="JP9" s="9"/>
      <c r="JQ9" s="9"/>
      <c r="JR9" s="9"/>
      <c r="JS9" s="9"/>
      <c r="JT9" s="9"/>
      <c r="JU9" s="9"/>
      <c r="JV9" s="9"/>
      <c r="JW9" s="9"/>
      <c r="JX9" s="9"/>
      <c r="JY9" s="9"/>
      <c r="JZ9" s="9"/>
      <c r="KA9" s="9"/>
      <c r="KB9" s="9"/>
      <c r="KC9" s="9"/>
      <c r="KD9" s="9"/>
      <c r="KE9" s="9"/>
      <c r="KF9" s="9"/>
      <c r="KG9" s="9"/>
      <c r="KH9" s="9"/>
      <c r="KI9" s="9"/>
      <c r="KJ9" s="9"/>
      <c r="KK9" s="9"/>
      <c r="KL9" s="9"/>
      <c r="KM9" s="9"/>
      <c r="KN9" s="9"/>
      <c r="KO9" s="9"/>
      <c r="KP9" s="9"/>
      <c r="KQ9" s="9"/>
      <c r="KR9" s="9"/>
      <c r="KS9" s="9"/>
      <c r="KT9" s="9"/>
      <c r="KU9" s="9"/>
      <c r="KV9" s="9"/>
      <c r="KW9" s="9"/>
      <c r="KX9" s="9"/>
      <c r="KY9" s="9"/>
      <c r="KZ9" s="9"/>
      <c r="LA9" s="9"/>
      <c r="LB9" s="9"/>
      <c r="LC9" s="9"/>
      <c r="LD9" s="9"/>
      <c r="LE9" s="9"/>
      <c r="LF9" s="9"/>
      <c r="LG9" s="9"/>
      <c r="LH9" s="9"/>
      <c r="LI9" s="9"/>
      <c r="LJ9" s="9"/>
      <c r="LK9" s="9"/>
      <c r="LL9" s="9"/>
      <c r="LM9" s="9"/>
      <c r="LN9" s="9"/>
      <c r="LO9" s="9"/>
      <c r="LP9" s="9"/>
      <c r="LQ9" s="9"/>
      <c r="LR9" s="9"/>
      <c r="LS9" s="9"/>
      <c r="LT9" s="9"/>
      <c r="LU9" s="9"/>
      <c r="LV9" s="9"/>
      <c r="LW9" s="9"/>
      <c r="LX9" s="9"/>
      <c r="LY9" s="9"/>
      <c r="LZ9" s="8"/>
    </row>
    <row r="10" spans="1:346" s="10" customFormat="1" ht="139.5" customHeight="1" x14ac:dyDescent="0.3">
      <c r="A10" s="104" t="s">
        <v>32</v>
      </c>
      <c r="B10" s="165" t="s">
        <v>135</v>
      </c>
      <c r="C10" s="166"/>
      <c r="D10" s="39">
        <v>4</v>
      </c>
      <c r="E10" s="39"/>
      <c r="F10" s="90">
        <f t="shared" si="0"/>
        <v>0</v>
      </c>
      <c r="G10" s="91" t="s">
        <v>36</v>
      </c>
      <c r="H10" s="91" t="s">
        <v>64</v>
      </c>
      <c r="I10" s="91" t="s">
        <v>65</v>
      </c>
      <c r="J10" s="91" t="s">
        <v>102</v>
      </c>
      <c r="K10" s="91" t="s">
        <v>54</v>
      </c>
      <c r="L10" s="20"/>
      <c r="M10" s="20"/>
      <c r="N10" s="20"/>
      <c r="O10" s="20"/>
      <c r="P10" s="20"/>
      <c r="Q10" s="20"/>
      <c r="R10" s="20"/>
      <c r="S10" s="20"/>
      <c r="T10" s="20"/>
      <c r="U10" s="20"/>
      <c r="V10" s="20"/>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9"/>
      <c r="IR10" s="9"/>
      <c r="IS10" s="9"/>
      <c r="IT10" s="9"/>
      <c r="IU10" s="9"/>
      <c r="IV10" s="9"/>
      <c r="IW10" s="9"/>
      <c r="IX10" s="9"/>
      <c r="IY10" s="9"/>
      <c r="IZ10" s="9"/>
      <c r="JA10" s="9"/>
      <c r="JB10" s="9"/>
      <c r="JC10" s="9"/>
      <c r="JD10" s="9"/>
      <c r="JE10" s="9"/>
      <c r="JF10" s="9"/>
      <c r="JG10" s="9"/>
      <c r="JH10" s="9"/>
      <c r="JI10" s="9"/>
      <c r="JJ10" s="9"/>
      <c r="JK10" s="9"/>
      <c r="JL10" s="9"/>
      <c r="JM10" s="9"/>
      <c r="JN10" s="9"/>
      <c r="JO10" s="9"/>
      <c r="JP10" s="9"/>
      <c r="JQ10" s="9"/>
      <c r="JR10" s="9"/>
      <c r="JS10" s="9"/>
      <c r="JT10" s="9"/>
      <c r="JU10" s="9"/>
      <c r="JV10" s="9"/>
      <c r="JW10" s="9"/>
      <c r="JX10" s="9"/>
      <c r="JY10" s="9"/>
      <c r="JZ10" s="9"/>
      <c r="KA10" s="9"/>
      <c r="KB10" s="9"/>
      <c r="KC10" s="9"/>
      <c r="KD10" s="9"/>
      <c r="KE10" s="9"/>
      <c r="KF10" s="9"/>
      <c r="KG10" s="9"/>
      <c r="KH10" s="9"/>
      <c r="KI10" s="9"/>
      <c r="KJ10" s="9"/>
      <c r="KK10" s="9"/>
      <c r="KL10" s="9"/>
      <c r="KM10" s="9"/>
      <c r="KN10" s="9"/>
      <c r="KO10" s="9"/>
      <c r="KP10" s="9"/>
      <c r="KQ10" s="9"/>
      <c r="KR10" s="9"/>
      <c r="KS10" s="9"/>
      <c r="KT10" s="9"/>
      <c r="KU10" s="9"/>
      <c r="KV10" s="9"/>
      <c r="KW10" s="9"/>
      <c r="KX10" s="9"/>
      <c r="KY10" s="9"/>
      <c r="KZ10" s="9"/>
      <c r="LA10" s="9"/>
      <c r="LB10" s="9"/>
      <c r="LC10" s="9"/>
      <c r="LD10" s="9"/>
      <c r="LE10" s="9"/>
      <c r="LF10" s="9"/>
      <c r="LG10" s="9"/>
      <c r="LH10" s="9"/>
      <c r="LI10" s="9"/>
      <c r="LJ10" s="9"/>
      <c r="LK10" s="9"/>
      <c r="LL10" s="9"/>
      <c r="LM10" s="9"/>
      <c r="LN10" s="9"/>
      <c r="LO10" s="9"/>
      <c r="LP10" s="9"/>
      <c r="LQ10" s="9"/>
      <c r="LR10" s="9"/>
      <c r="LS10" s="9"/>
      <c r="LT10" s="9"/>
      <c r="LU10" s="9"/>
      <c r="LV10" s="9"/>
      <c r="LW10" s="9"/>
      <c r="LX10" s="9"/>
      <c r="LY10" s="9"/>
      <c r="LZ10" s="8"/>
    </row>
    <row r="11" spans="1:346" s="10" customFormat="1" ht="139.5" customHeight="1" x14ac:dyDescent="0.3">
      <c r="A11" s="105" t="s">
        <v>12</v>
      </c>
      <c r="B11" s="165" t="s">
        <v>136</v>
      </c>
      <c r="C11" s="166"/>
      <c r="D11" s="39">
        <v>4</v>
      </c>
      <c r="E11" s="39"/>
      <c r="F11" s="90">
        <f t="shared" si="0"/>
        <v>0</v>
      </c>
      <c r="G11" s="91" t="s">
        <v>62</v>
      </c>
      <c r="H11" s="91" t="s">
        <v>66</v>
      </c>
      <c r="I11" s="91" t="s">
        <v>63</v>
      </c>
      <c r="J11" s="91" t="s">
        <v>120</v>
      </c>
      <c r="K11" s="91" t="s">
        <v>35</v>
      </c>
      <c r="L11" s="20"/>
      <c r="M11" s="20"/>
      <c r="N11" s="20"/>
      <c r="O11" s="20"/>
      <c r="P11" s="20"/>
      <c r="Q11" s="20"/>
      <c r="R11" s="20"/>
      <c r="S11" s="20"/>
      <c r="T11" s="20"/>
      <c r="U11" s="20"/>
      <c r="V11" s="20"/>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9"/>
      <c r="IR11" s="9"/>
      <c r="IS11" s="9"/>
      <c r="IT11" s="9"/>
      <c r="IU11" s="9"/>
      <c r="IV11" s="9"/>
      <c r="IW11" s="9"/>
      <c r="IX11" s="9"/>
      <c r="IY11" s="9"/>
      <c r="IZ11" s="9"/>
      <c r="JA11" s="9"/>
      <c r="JB11" s="9"/>
      <c r="JC11" s="9"/>
      <c r="JD11" s="9"/>
      <c r="JE11" s="9"/>
      <c r="JF11" s="9"/>
      <c r="JG11" s="9"/>
      <c r="JH11" s="9"/>
      <c r="JI11" s="9"/>
      <c r="JJ11" s="9"/>
      <c r="JK11" s="9"/>
      <c r="JL11" s="9"/>
      <c r="JM11" s="9"/>
      <c r="JN11" s="9"/>
      <c r="JO11" s="9"/>
      <c r="JP11" s="9"/>
      <c r="JQ11" s="9"/>
      <c r="JR11" s="9"/>
      <c r="JS11" s="9"/>
      <c r="JT11" s="9"/>
      <c r="JU11" s="9"/>
      <c r="JV11" s="9"/>
      <c r="JW11" s="9"/>
      <c r="JX11" s="9"/>
      <c r="JY11" s="9"/>
      <c r="JZ11" s="9"/>
      <c r="KA11" s="9"/>
      <c r="KB11" s="9"/>
      <c r="KC11" s="9"/>
      <c r="KD11" s="9"/>
      <c r="KE11" s="9"/>
      <c r="KF11" s="9"/>
      <c r="KG11" s="9"/>
      <c r="KH11" s="9"/>
      <c r="KI11" s="9"/>
      <c r="KJ11" s="9"/>
      <c r="KK11" s="9"/>
      <c r="KL11" s="9"/>
      <c r="KM11" s="9"/>
      <c r="KN11" s="9"/>
      <c r="KO11" s="9"/>
      <c r="KP11" s="9"/>
      <c r="KQ11" s="9"/>
      <c r="KR11" s="9"/>
      <c r="KS11" s="9"/>
      <c r="KT11" s="9"/>
      <c r="KU11" s="9"/>
      <c r="KV11" s="9"/>
      <c r="KW11" s="9"/>
      <c r="KX11" s="9"/>
      <c r="KY11" s="9"/>
      <c r="KZ11" s="9"/>
      <c r="LA11" s="9"/>
      <c r="LB11" s="9"/>
      <c r="LC11" s="9"/>
      <c r="LD11" s="9"/>
      <c r="LE11" s="9"/>
      <c r="LF11" s="9"/>
      <c r="LG11" s="9"/>
      <c r="LH11" s="9"/>
      <c r="LI11" s="9"/>
      <c r="LJ11" s="9"/>
      <c r="LK11" s="9"/>
      <c r="LL11" s="9"/>
      <c r="LM11" s="9"/>
      <c r="LN11" s="9"/>
      <c r="LO11" s="9"/>
      <c r="LP11" s="9"/>
      <c r="LQ11" s="9"/>
      <c r="LR11" s="9"/>
      <c r="LS11" s="9"/>
      <c r="LT11" s="9"/>
      <c r="LU11" s="9"/>
      <c r="LV11" s="9"/>
      <c r="LW11" s="9"/>
      <c r="LX11" s="9"/>
      <c r="LY11" s="9"/>
      <c r="LZ11" s="15"/>
      <c r="MA11" s="13"/>
      <c r="MB11" s="13"/>
      <c r="MC11" s="13"/>
      <c r="MD11" s="13"/>
      <c r="ME11" s="13"/>
      <c r="MF11" s="13"/>
      <c r="MG11" s="13"/>
    </row>
    <row r="12" spans="1:346" s="10" customFormat="1" ht="170.25" customHeight="1" x14ac:dyDescent="0.3">
      <c r="A12" s="104" t="s">
        <v>16</v>
      </c>
      <c r="B12" s="165" t="s">
        <v>137</v>
      </c>
      <c r="C12" s="166"/>
      <c r="D12" s="39">
        <v>4</v>
      </c>
      <c r="E12" s="39"/>
      <c r="F12" s="90">
        <f t="shared" si="0"/>
        <v>0</v>
      </c>
      <c r="G12" s="91" t="s">
        <v>38</v>
      </c>
      <c r="H12" s="91" t="s">
        <v>103</v>
      </c>
      <c r="I12" s="91" t="s">
        <v>67</v>
      </c>
      <c r="J12" s="91" t="s">
        <v>68</v>
      </c>
      <c r="K12" s="91" t="s">
        <v>55</v>
      </c>
      <c r="L12" s="20"/>
      <c r="M12" s="20"/>
      <c r="N12" s="20"/>
      <c r="O12" s="20"/>
      <c r="P12" s="20"/>
      <c r="Q12" s="20"/>
      <c r="R12" s="20"/>
      <c r="S12" s="20"/>
      <c r="T12" s="20"/>
      <c r="U12" s="20"/>
      <c r="V12" s="20"/>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9"/>
      <c r="IR12" s="9"/>
      <c r="IS12" s="9"/>
      <c r="IT12" s="9"/>
      <c r="IU12" s="9"/>
      <c r="IV12" s="9"/>
      <c r="IW12" s="9"/>
      <c r="IX12" s="9"/>
      <c r="IY12" s="9"/>
      <c r="IZ12" s="9"/>
      <c r="JA12" s="9"/>
      <c r="JB12" s="9"/>
      <c r="JC12" s="9"/>
      <c r="JD12" s="9"/>
      <c r="JE12" s="9"/>
      <c r="JF12" s="9"/>
      <c r="JG12" s="9"/>
      <c r="JH12" s="9"/>
      <c r="JI12" s="9"/>
      <c r="JJ12" s="9"/>
      <c r="JK12" s="9"/>
      <c r="JL12" s="9"/>
      <c r="JM12" s="9"/>
      <c r="JN12" s="9"/>
      <c r="JO12" s="9"/>
      <c r="JP12" s="9"/>
      <c r="JQ12" s="9"/>
      <c r="JR12" s="9"/>
      <c r="JS12" s="9"/>
      <c r="JT12" s="9"/>
      <c r="JU12" s="9"/>
      <c r="JV12" s="9"/>
      <c r="JW12" s="9"/>
      <c r="JX12" s="9"/>
      <c r="JY12" s="9"/>
      <c r="JZ12" s="9"/>
      <c r="KA12" s="9"/>
      <c r="KB12" s="9"/>
      <c r="KC12" s="9"/>
      <c r="KD12" s="9"/>
      <c r="KE12" s="9"/>
      <c r="KF12" s="9"/>
      <c r="KG12" s="9"/>
      <c r="KH12" s="9"/>
      <c r="KI12" s="9"/>
      <c r="KJ12" s="9"/>
      <c r="KK12" s="9"/>
      <c r="KL12" s="9"/>
      <c r="KM12" s="9"/>
      <c r="KN12" s="9"/>
      <c r="KO12" s="9"/>
      <c r="KP12" s="9"/>
      <c r="KQ12" s="9"/>
      <c r="KR12" s="9"/>
      <c r="KS12" s="9"/>
      <c r="KT12" s="9"/>
      <c r="KU12" s="9"/>
      <c r="KV12" s="9"/>
      <c r="KW12" s="9"/>
      <c r="KX12" s="9"/>
      <c r="KY12" s="9"/>
      <c r="KZ12" s="9"/>
      <c r="LA12" s="9"/>
      <c r="LB12" s="9"/>
      <c r="LC12" s="9"/>
      <c r="LD12" s="9"/>
      <c r="LE12" s="9"/>
      <c r="LF12" s="9"/>
      <c r="LG12" s="9"/>
      <c r="LH12" s="9"/>
      <c r="LI12" s="9"/>
      <c r="LJ12" s="9"/>
      <c r="LK12" s="9"/>
      <c r="LL12" s="9"/>
      <c r="LM12" s="9"/>
      <c r="LN12" s="9"/>
      <c r="LO12" s="9"/>
      <c r="LP12" s="9"/>
      <c r="LQ12" s="9"/>
      <c r="LR12" s="9"/>
      <c r="LS12" s="9"/>
      <c r="LT12" s="9"/>
      <c r="LU12" s="9"/>
      <c r="LV12" s="9"/>
      <c r="LW12" s="9"/>
      <c r="LX12" s="9"/>
      <c r="LY12" s="9"/>
      <c r="LZ12" s="8"/>
    </row>
    <row r="13" spans="1:346" s="3" customFormat="1" ht="15.75" hidden="1" customHeight="1" x14ac:dyDescent="0.25">
      <c r="B13" s="162" t="s">
        <v>3</v>
      </c>
      <c r="C13" s="163"/>
      <c r="D13" s="40">
        <f>SUM(D7:D12)</f>
        <v>22</v>
      </c>
      <c r="E13" s="40">
        <f>SUM(IF(E7&gt;D7,D7,E7),IF(E8&gt;D8,D8,E8),IF(E9&gt;D9,D9,E9),IF(E10&gt;D10,D10,E10), IF(E11&gt;D11,D11,E11), IF(E12&gt;D12,D12,E12))</f>
        <v>0</v>
      </c>
      <c r="F13" s="50">
        <f>AVERAGE(F7:F12)</f>
        <v>0</v>
      </c>
      <c r="G13"/>
      <c r="H13" s="47"/>
      <c r="I13" s="45"/>
      <c r="J13" s="24"/>
      <c r="K13" s="24"/>
      <c r="L13" s="24"/>
      <c r="M13" s="24"/>
      <c r="N13" s="24"/>
      <c r="O13" s="24"/>
      <c r="P13" s="24"/>
      <c r="Q13" s="24"/>
      <c r="R13" s="24"/>
      <c r="S13" s="24"/>
    </row>
    <row r="14" spans="1:346" s="6" customFormat="1" x14ac:dyDescent="0.25">
      <c r="L14" s="7"/>
      <c r="M14" s="7"/>
      <c r="N14" s="7"/>
      <c r="O14" s="7"/>
      <c r="P14" s="7"/>
      <c r="Q14" s="7"/>
      <c r="R14" s="7"/>
      <c r="S14" s="7"/>
      <c r="T14" s="7"/>
      <c r="U14" s="7"/>
      <c r="V14" s="7"/>
      <c r="W14" s="7"/>
      <c r="X14" s="7"/>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c r="BB14" s="7"/>
      <c r="BC14" s="7"/>
      <c r="BD14" s="7"/>
      <c r="BE14" s="7"/>
      <c r="BF14" s="7"/>
      <c r="BG14" s="7"/>
      <c r="BH14" s="7"/>
      <c r="BI14" s="7"/>
      <c r="BJ14" s="7"/>
      <c r="BK14" s="7"/>
      <c r="BL14" s="7"/>
      <c r="BM14" s="7"/>
      <c r="BN14" s="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c r="IW14" s="7"/>
      <c r="IX14" s="7"/>
      <c r="IY14" s="7"/>
      <c r="IZ14" s="7"/>
      <c r="JA14" s="7"/>
      <c r="JB14" s="7"/>
      <c r="JC14" s="7"/>
      <c r="JD14" s="7"/>
      <c r="JE14" s="7"/>
      <c r="JF14" s="7"/>
      <c r="JG14" s="7"/>
      <c r="JH14" s="7"/>
      <c r="JI14" s="7"/>
      <c r="JJ14" s="7"/>
      <c r="JK14" s="7"/>
      <c r="JL14" s="7"/>
      <c r="JM14" s="7"/>
      <c r="JN14" s="7"/>
      <c r="JO14" s="7"/>
      <c r="JP14" s="7"/>
      <c r="JQ14" s="7"/>
      <c r="JR14" s="7"/>
      <c r="JS14" s="7"/>
      <c r="JT14" s="7"/>
      <c r="JU14" s="7"/>
      <c r="JV14" s="7"/>
      <c r="JW14" s="7"/>
      <c r="JX14" s="7"/>
      <c r="JY14" s="7"/>
      <c r="JZ14" s="7"/>
      <c r="KA14" s="7"/>
      <c r="KB14" s="7"/>
      <c r="KC14" s="7"/>
      <c r="KD14" s="7"/>
      <c r="KE14" s="7"/>
      <c r="KF14" s="7"/>
      <c r="KG14" s="7"/>
      <c r="KH14" s="7"/>
      <c r="KI14" s="7"/>
      <c r="KJ14" s="7"/>
      <c r="KK14" s="7"/>
      <c r="KL14" s="7"/>
      <c r="KM14" s="7"/>
      <c r="KN14" s="7"/>
      <c r="KO14" s="7"/>
      <c r="KP14" s="7"/>
      <c r="KQ14" s="7"/>
      <c r="KR14" s="7"/>
      <c r="KS14" s="7"/>
      <c r="KT14" s="7"/>
      <c r="KU14" s="7"/>
      <c r="KV14" s="7"/>
      <c r="KW14" s="7"/>
      <c r="KX14" s="7"/>
      <c r="KY14" s="7"/>
      <c r="KZ14" s="7"/>
      <c r="LA14" s="7"/>
      <c r="LB14" s="7"/>
      <c r="LC14" s="7"/>
      <c r="LD14" s="7"/>
      <c r="LE14" s="7"/>
      <c r="LF14" s="7"/>
      <c r="LG14" s="7"/>
      <c r="LH14" s="7"/>
      <c r="LI14" s="7"/>
      <c r="LJ14" s="7"/>
      <c r="LK14" s="7"/>
      <c r="LL14" s="7"/>
      <c r="LM14" s="7"/>
      <c r="LN14" s="7"/>
      <c r="LO14" s="7"/>
      <c r="LP14" s="7"/>
      <c r="LQ14" s="7"/>
      <c r="LR14" s="7"/>
      <c r="LS14" s="7"/>
      <c r="LT14" s="7"/>
      <c r="LU14" s="7"/>
      <c r="LV14" s="7"/>
      <c r="LW14" s="7"/>
      <c r="LX14" s="7"/>
      <c r="LY14" s="7"/>
    </row>
    <row r="15" spans="1:346" s="6" customFormat="1" x14ac:dyDescent="0.25">
      <c r="L15" s="7"/>
      <c r="M15" s="7"/>
      <c r="N15" s="7"/>
      <c r="O15" s="7"/>
      <c r="P15" s="7"/>
      <c r="Q15" s="7"/>
      <c r="R15" s="7"/>
      <c r="S15" s="7"/>
      <c r="T15" s="7"/>
      <c r="U15" s="7"/>
      <c r="AC15" s="7"/>
      <c r="AD15" s="7"/>
      <c r="AE15" s="7"/>
      <c r="AF15" s="7"/>
      <c r="AG15" s="7"/>
      <c r="AH15" s="7"/>
      <c r="AI15" s="7"/>
      <c r="AJ15" s="7"/>
      <c r="AK15" s="7"/>
      <c r="AL15" s="7"/>
      <c r="AM15" s="7"/>
      <c r="AN15" s="7"/>
      <c r="AO15" s="7"/>
      <c r="AP15" s="7"/>
      <c r="AQ15" s="7"/>
      <c r="AR15" s="7"/>
      <c r="AS15" s="7"/>
      <c r="AT15" s="7"/>
      <c r="AU15" s="7"/>
      <c r="AV15" s="7"/>
      <c r="AW15" s="7"/>
      <c r="AX15" s="7"/>
      <c r="AY15" s="7"/>
      <c r="AZ15" s="7"/>
      <c r="BA15" s="7"/>
      <c r="BB15" s="7"/>
      <c r="BC15" s="7"/>
      <c r="BD15" s="7"/>
      <c r="BE15" s="7"/>
      <c r="BF15" s="7"/>
      <c r="BG15" s="7"/>
      <c r="BH15" s="7"/>
      <c r="BI15" s="7"/>
      <c r="BJ15" s="7"/>
      <c r="BK15" s="7"/>
      <c r="BL15" s="7"/>
      <c r="BM15" s="7"/>
      <c r="BN15" s="7"/>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c r="IL15" s="7"/>
      <c r="IM15" s="7"/>
      <c r="IN15" s="7"/>
      <c r="IO15" s="7"/>
      <c r="IP15" s="7"/>
      <c r="IQ15" s="7"/>
      <c r="IR15" s="7"/>
      <c r="IS15" s="7"/>
      <c r="IT15" s="7"/>
      <c r="IU15" s="7"/>
      <c r="IV15" s="7"/>
      <c r="IW15" s="7"/>
      <c r="IX15" s="7"/>
      <c r="IY15" s="7"/>
      <c r="IZ15" s="7"/>
      <c r="JA15" s="7"/>
      <c r="JB15" s="7"/>
      <c r="JC15" s="7"/>
      <c r="JD15" s="7"/>
      <c r="JE15" s="7"/>
      <c r="JF15" s="7"/>
      <c r="JG15" s="7"/>
      <c r="JH15" s="7"/>
      <c r="JI15" s="7"/>
      <c r="JJ15" s="7"/>
      <c r="JK15" s="7"/>
      <c r="JL15" s="7"/>
      <c r="JM15" s="7"/>
      <c r="JN15" s="7"/>
      <c r="JO15" s="7"/>
      <c r="JP15" s="7"/>
      <c r="JQ15" s="7"/>
      <c r="JR15" s="7"/>
      <c r="JS15" s="7"/>
      <c r="JT15" s="7"/>
      <c r="JU15" s="7"/>
      <c r="JV15" s="7"/>
      <c r="JW15" s="7"/>
      <c r="JX15" s="7"/>
      <c r="JY15" s="7"/>
      <c r="JZ15" s="7"/>
      <c r="KA15" s="7"/>
      <c r="KB15" s="7"/>
      <c r="KC15" s="7"/>
      <c r="KD15" s="7"/>
      <c r="KE15" s="7"/>
      <c r="KF15" s="7"/>
      <c r="KG15" s="7"/>
      <c r="KH15" s="7"/>
      <c r="KI15" s="7"/>
      <c r="KJ15" s="7"/>
      <c r="KK15" s="7"/>
      <c r="KL15" s="7"/>
      <c r="KM15" s="7"/>
      <c r="KN15" s="7"/>
      <c r="KO15" s="7"/>
      <c r="KP15" s="7"/>
      <c r="KQ15" s="7"/>
      <c r="KR15" s="7"/>
      <c r="KS15" s="7"/>
      <c r="KT15" s="7"/>
      <c r="KU15" s="7"/>
      <c r="KV15" s="7"/>
      <c r="KW15" s="7"/>
      <c r="KX15" s="7"/>
      <c r="KY15" s="7"/>
      <c r="KZ15" s="7"/>
      <c r="LA15" s="7"/>
      <c r="LB15" s="7"/>
      <c r="LC15" s="7"/>
      <c r="LD15" s="7"/>
      <c r="LE15" s="7"/>
      <c r="LF15" s="7"/>
      <c r="LG15" s="7"/>
      <c r="LH15" s="7"/>
      <c r="LI15" s="7"/>
      <c r="LJ15" s="7"/>
      <c r="LK15" s="7"/>
      <c r="LL15" s="7"/>
      <c r="LM15" s="7"/>
      <c r="LN15" s="7"/>
      <c r="LO15" s="7"/>
      <c r="LP15" s="7"/>
      <c r="LQ15" s="7"/>
      <c r="LR15" s="7"/>
      <c r="LS15" s="7"/>
      <c r="LT15" s="7"/>
      <c r="LU15" s="7"/>
      <c r="LV15" s="7"/>
      <c r="LW15" s="7"/>
      <c r="LX15" s="7"/>
      <c r="LY15" s="7"/>
    </row>
    <row r="16" spans="1:346" s="6" customFormat="1" x14ac:dyDescent="0.25">
      <c r="L16" s="7"/>
      <c r="M16" s="7"/>
      <c r="N16" s="7"/>
      <c r="O16" s="7"/>
      <c r="P16" s="7"/>
      <c r="Q16" s="7"/>
      <c r="R16" s="7"/>
      <c r="S16" s="7"/>
      <c r="T16" s="7"/>
      <c r="U16" s="7"/>
      <c r="AC16" s="7"/>
      <c r="AD16" s="7"/>
      <c r="AE16" s="7"/>
      <c r="AF16" s="7"/>
      <c r="AG16" s="7"/>
      <c r="AH16" s="7"/>
      <c r="AI16" s="7"/>
      <c r="AJ16" s="7"/>
      <c r="AK16" s="7"/>
      <c r="AL16" s="7"/>
      <c r="AM16" s="7"/>
      <c r="AN16" s="7"/>
      <c r="AO16" s="7"/>
      <c r="AP16" s="7"/>
      <c r="AQ16" s="7"/>
      <c r="AR16" s="7"/>
      <c r="AS16" s="7"/>
      <c r="AT16" s="7"/>
      <c r="AU16" s="7"/>
      <c r="AV16" s="7"/>
      <c r="AW16" s="7"/>
      <c r="AX16" s="7"/>
      <c r="AY16" s="7"/>
      <c r="AZ16" s="7"/>
      <c r="BA16" s="7"/>
      <c r="BB16" s="7"/>
      <c r="BC16" s="7"/>
      <c r="BD16" s="7"/>
      <c r="BE16" s="7"/>
      <c r="BF16" s="7"/>
      <c r="BG16" s="7"/>
      <c r="BH16" s="7"/>
      <c r="BI16" s="7"/>
      <c r="BJ16" s="7"/>
      <c r="BK16" s="7"/>
      <c r="BL16" s="7"/>
      <c r="BM16" s="7"/>
      <c r="BN16" s="7"/>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c r="IW16" s="7"/>
      <c r="IX16" s="7"/>
      <c r="IY16" s="7"/>
      <c r="IZ16" s="7"/>
      <c r="JA16" s="7"/>
      <c r="JB16" s="7"/>
      <c r="JC16" s="7"/>
      <c r="JD16" s="7"/>
      <c r="JE16" s="7"/>
      <c r="JF16" s="7"/>
      <c r="JG16" s="7"/>
      <c r="JH16" s="7"/>
      <c r="JI16" s="7"/>
      <c r="JJ16" s="7"/>
      <c r="JK16" s="7"/>
      <c r="JL16" s="7"/>
      <c r="JM16" s="7"/>
      <c r="JN16" s="7"/>
      <c r="JO16" s="7"/>
      <c r="JP16" s="7"/>
      <c r="JQ16" s="7"/>
      <c r="JR16" s="7"/>
      <c r="JS16" s="7"/>
      <c r="JT16" s="7"/>
      <c r="JU16" s="7"/>
      <c r="JV16" s="7"/>
      <c r="JW16" s="7"/>
      <c r="JX16" s="7"/>
      <c r="JY16" s="7"/>
      <c r="JZ16" s="7"/>
      <c r="KA16" s="7"/>
      <c r="KB16" s="7"/>
      <c r="KC16" s="7"/>
      <c r="KD16" s="7"/>
      <c r="KE16" s="7"/>
      <c r="KF16" s="7"/>
      <c r="KG16" s="7"/>
      <c r="KH16" s="7"/>
      <c r="KI16" s="7"/>
      <c r="KJ16" s="7"/>
      <c r="KK16" s="7"/>
      <c r="KL16" s="7"/>
      <c r="KM16" s="7"/>
      <c r="KN16" s="7"/>
      <c r="KO16" s="7"/>
      <c r="KP16" s="7"/>
      <c r="KQ16" s="7"/>
      <c r="KR16" s="7"/>
      <c r="KS16" s="7"/>
      <c r="KT16" s="7"/>
      <c r="KU16" s="7"/>
      <c r="KV16" s="7"/>
      <c r="KW16" s="7"/>
      <c r="KX16" s="7"/>
      <c r="KY16" s="7"/>
      <c r="KZ16" s="7"/>
      <c r="LA16" s="7"/>
      <c r="LB16" s="7"/>
      <c r="LC16" s="7"/>
      <c r="LD16" s="7"/>
      <c r="LE16" s="7"/>
      <c r="LF16" s="7"/>
      <c r="LG16" s="7"/>
      <c r="LH16" s="7"/>
      <c r="LI16" s="7"/>
      <c r="LJ16" s="7"/>
      <c r="LK16" s="7"/>
      <c r="LL16" s="7"/>
      <c r="LM16" s="7"/>
      <c r="LN16" s="7"/>
      <c r="LO16" s="7"/>
      <c r="LP16" s="7"/>
      <c r="LQ16" s="7"/>
      <c r="LR16" s="7"/>
      <c r="LS16" s="7"/>
      <c r="LT16" s="7"/>
      <c r="LU16" s="7"/>
      <c r="LV16" s="7"/>
      <c r="LW16" s="7"/>
      <c r="LX16" s="7"/>
      <c r="LY16" s="7"/>
    </row>
    <row r="17" spans="12:337" s="6" customFormat="1" x14ac:dyDescent="0.25">
      <c r="L17" s="7"/>
      <c r="M17" s="7"/>
      <c r="N17" s="7"/>
      <c r="O17" s="7"/>
      <c r="P17" s="7"/>
      <c r="Q17" s="7"/>
      <c r="R17" s="7"/>
      <c r="S17" s="7"/>
      <c r="T17" s="7"/>
      <c r="U17" s="7"/>
      <c r="AC17" s="7"/>
      <c r="AD17" s="7"/>
      <c r="AE17" s="7"/>
      <c r="AF17" s="7"/>
      <c r="AG17" s="7"/>
      <c r="AH17" s="7"/>
      <c r="AI17" s="7"/>
      <c r="AJ17" s="7"/>
      <c r="AK17" s="7"/>
      <c r="AL17" s="7"/>
      <c r="AM17" s="7"/>
      <c r="AN17" s="7"/>
      <c r="AO17" s="7"/>
      <c r="AP17" s="7"/>
      <c r="AQ17" s="7"/>
      <c r="AR17" s="7"/>
      <c r="AS17" s="7"/>
      <c r="AT17" s="7"/>
      <c r="AU17" s="7"/>
      <c r="AV17" s="7"/>
      <c r="AW17" s="7"/>
      <c r="AX17" s="7"/>
      <c r="AY17" s="7"/>
      <c r="AZ17" s="7"/>
      <c r="BA17" s="7"/>
      <c r="BB17" s="7"/>
      <c r="BC17" s="7"/>
      <c r="BD17" s="7"/>
      <c r="BE17" s="7"/>
      <c r="BF17" s="7"/>
      <c r="BG17" s="7"/>
      <c r="BH17" s="7"/>
      <c r="BI17" s="7"/>
      <c r="BJ17" s="7"/>
      <c r="BK17" s="7"/>
      <c r="BL17" s="7"/>
      <c r="BM17" s="7"/>
      <c r="BN17" s="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c r="IU17" s="7"/>
      <c r="IV17" s="7"/>
      <c r="IW17" s="7"/>
      <c r="IX17" s="7"/>
      <c r="IY17" s="7"/>
      <c r="IZ17" s="7"/>
      <c r="JA17" s="7"/>
      <c r="JB17" s="7"/>
      <c r="JC17" s="7"/>
      <c r="JD17" s="7"/>
      <c r="JE17" s="7"/>
      <c r="JF17" s="7"/>
      <c r="JG17" s="7"/>
      <c r="JH17" s="7"/>
      <c r="JI17" s="7"/>
      <c r="JJ17" s="7"/>
      <c r="JK17" s="7"/>
      <c r="JL17" s="7"/>
      <c r="JM17" s="7"/>
      <c r="JN17" s="7"/>
      <c r="JO17" s="7"/>
      <c r="JP17" s="7"/>
      <c r="JQ17" s="7"/>
      <c r="JR17" s="7"/>
      <c r="JS17" s="7"/>
      <c r="JT17" s="7"/>
      <c r="JU17" s="7"/>
      <c r="JV17" s="7"/>
      <c r="JW17" s="7"/>
      <c r="JX17" s="7"/>
      <c r="JY17" s="7"/>
      <c r="JZ17" s="7"/>
      <c r="KA17" s="7"/>
      <c r="KB17" s="7"/>
      <c r="KC17" s="7"/>
      <c r="KD17" s="7"/>
      <c r="KE17" s="7"/>
      <c r="KF17" s="7"/>
      <c r="KG17" s="7"/>
      <c r="KH17" s="7"/>
      <c r="KI17" s="7"/>
      <c r="KJ17" s="7"/>
      <c r="KK17" s="7"/>
      <c r="KL17" s="7"/>
      <c r="KM17" s="7"/>
      <c r="KN17" s="7"/>
      <c r="KO17" s="7"/>
      <c r="KP17" s="7"/>
      <c r="KQ17" s="7"/>
      <c r="KR17" s="7"/>
      <c r="KS17" s="7"/>
      <c r="KT17" s="7"/>
      <c r="KU17" s="7"/>
      <c r="KV17" s="7"/>
      <c r="KW17" s="7"/>
      <c r="KX17" s="7"/>
      <c r="KY17" s="7"/>
      <c r="KZ17" s="7"/>
      <c r="LA17" s="7"/>
      <c r="LB17" s="7"/>
      <c r="LC17" s="7"/>
      <c r="LD17" s="7"/>
      <c r="LE17" s="7"/>
      <c r="LF17" s="7"/>
      <c r="LG17" s="7"/>
      <c r="LH17" s="7"/>
      <c r="LI17" s="7"/>
      <c r="LJ17" s="7"/>
      <c r="LK17" s="7"/>
      <c r="LL17" s="7"/>
      <c r="LM17" s="7"/>
      <c r="LN17" s="7"/>
      <c r="LO17" s="7"/>
      <c r="LP17" s="7"/>
      <c r="LQ17" s="7"/>
      <c r="LR17" s="7"/>
      <c r="LS17" s="7"/>
      <c r="LT17" s="7"/>
      <c r="LU17" s="7"/>
      <c r="LV17" s="7"/>
      <c r="LW17" s="7"/>
      <c r="LX17" s="7"/>
      <c r="LY17" s="7"/>
    </row>
    <row r="18" spans="12:337" s="6" customFormat="1" x14ac:dyDescent="0.25">
      <c r="L18" s="7"/>
      <c r="M18" s="7"/>
      <c r="N18" s="7"/>
      <c r="O18" s="7"/>
      <c r="P18" s="7"/>
      <c r="Q18" s="7"/>
      <c r="R18" s="7"/>
      <c r="S18" s="7"/>
      <c r="T18" s="7"/>
      <c r="U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c r="BB18" s="7"/>
      <c r="BC18" s="7"/>
      <c r="BD18" s="7"/>
      <c r="BE18" s="7"/>
      <c r="BF18" s="7"/>
      <c r="BG18" s="7"/>
      <c r="BH18" s="7"/>
      <c r="BI18" s="7"/>
      <c r="BJ18" s="7"/>
      <c r="BK18" s="7"/>
      <c r="BL18" s="7"/>
      <c r="BM18" s="7"/>
      <c r="BN18" s="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c r="IW18" s="7"/>
      <c r="IX18" s="7"/>
      <c r="IY18" s="7"/>
      <c r="IZ18" s="7"/>
      <c r="JA18" s="7"/>
      <c r="JB18" s="7"/>
      <c r="JC18" s="7"/>
      <c r="JD18" s="7"/>
      <c r="JE18" s="7"/>
      <c r="JF18" s="7"/>
      <c r="JG18" s="7"/>
      <c r="JH18" s="7"/>
      <c r="JI18" s="7"/>
      <c r="JJ18" s="7"/>
      <c r="JK18" s="7"/>
      <c r="JL18" s="7"/>
      <c r="JM18" s="7"/>
      <c r="JN18" s="7"/>
      <c r="JO18" s="7"/>
      <c r="JP18" s="7"/>
      <c r="JQ18" s="7"/>
      <c r="JR18" s="7"/>
      <c r="JS18" s="7"/>
      <c r="JT18" s="7"/>
      <c r="JU18" s="7"/>
      <c r="JV18" s="7"/>
      <c r="JW18" s="7"/>
      <c r="JX18" s="7"/>
      <c r="JY18" s="7"/>
      <c r="JZ18" s="7"/>
      <c r="KA18" s="7"/>
      <c r="KB18" s="7"/>
      <c r="KC18" s="7"/>
      <c r="KD18" s="7"/>
      <c r="KE18" s="7"/>
      <c r="KF18" s="7"/>
      <c r="KG18" s="7"/>
      <c r="KH18" s="7"/>
      <c r="KI18" s="7"/>
      <c r="KJ18" s="7"/>
      <c r="KK18" s="7"/>
      <c r="KL18" s="7"/>
      <c r="KM18" s="7"/>
      <c r="KN18" s="7"/>
      <c r="KO18" s="7"/>
      <c r="KP18" s="7"/>
      <c r="KQ18" s="7"/>
      <c r="KR18" s="7"/>
      <c r="KS18" s="7"/>
      <c r="KT18" s="7"/>
      <c r="KU18" s="7"/>
      <c r="KV18" s="7"/>
      <c r="KW18" s="7"/>
      <c r="KX18" s="7"/>
      <c r="KY18" s="7"/>
      <c r="KZ18" s="7"/>
      <c r="LA18" s="7"/>
      <c r="LB18" s="7"/>
      <c r="LC18" s="7"/>
      <c r="LD18" s="7"/>
      <c r="LE18" s="7"/>
      <c r="LF18" s="7"/>
      <c r="LG18" s="7"/>
      <c r="LH18" s="7"/>
      <c r="LI18" s="7"/>
      <c r="LJ18" s="7"/>
      <c r="LK18" s="7"/>
      <c r="LL18" s="7"/>
      <c r="LM18" s="7"/>
      <c r="LN18" s="7"/>
      <c r="LO18" s="7"/>
      <c r="LP18" s="7"/>
      <c r="LQ18" s="7"/>
      <c r="LR18" s="7"/>
      <c r="LS18" s="7"/>
      <c r="LT18" s="7"/>
      <c r="LU18" s="7"/>
      <c r="LV18" s="7"/>
      <c r="LW18" s="7"/>
      <c r="LX18" s="7"/>
      <c r="LY18" s="7"/>
    </row>
    <row r="19" spans="12:337" s="6" customFormat="1" x14ac:dyDescent="0.25">
      <c r="L19" s="7"/>
      <c r="M19" s="7"/>
      <c r="N19" s="7"/>
      <c r="O19" s="7"/>
      <c r="P19" s="7"/>
      <c r="Q19" s="7"/>
      <c r="R19" s="7"/>
      <c r="S19" s="7"/>
      <c r="T19" s="7"/>
      <c r="U19" s="7"/>
      <c r="AC19" s="7"/>
      <c r="AD19" s="7"/>
      <c r="AE19" s="7"/>
      <c r="AF19" s="7"/>
      <c r="AG19" s="7"/>
      <c r="AH19" s="7"/>
      <c r="AI19" s="7"/>
      <c r="AJ19" s="7"/>
      <c r="AK19" s="7"/>
      <c r="AL19" s="7"/>
      <c r="AM19" s="7"/>
      <c r="AN19" s="7"/>
      <c r="AO19" s="7"/>
      <c r="AP19" s="7"/>
      <c r="AQ19" s="7"/>
      <c r="AR19" s="7"/>
      <c r="AS19" s="7"/>
      <c r="AT19" s="7"/>
      <c r="AU19" s="7"/>
      <c r="AV19" s="7"/>
      <c r="AW19" s="7"/>
      <c r="AX19" s="7"/>
      <c r="AY19" s="7"/>
      <c r="AZ19" s="7"/>
      <c r="BA19" s="7"/>
      <c r="BB19" s="7"/>
      <c r="BC19" s="7"/>
      <c r="BD19" s="7"/>
      <c r="BE19" s="7"/>
      <c r="BF19" s="7"/>
      <c r="BG19" s="7"/>
      <c r="BH19" s="7"/>
      <c r="BI19" s="7"/>
      <c r="BJ19" s="7"/>
      <c r="BK19" s="7"/>
      <c r="BL19" s="7"/>
      <c r="BM19" s="7"/>
      <c r="BN19" s="7"/>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c r="IW19" s="7"/>
      <c r="IX19" s="7"/>
      <c r="IY19" s="7"/>
      <c r="IZ19" s="7"/>
      <c r="JA19" s="7"/>
      <c r="JB19" s="7"/>
      <c r="JC19" s="7"/>
      <c r="JD19" s="7"/>
      <c r="JE19" s="7"/>
      <c r="JF19" s="7"/>
      <c r="JG19" s="7"/>
      <c r="JH19" s="7"/>
      <c r="JI19" s="7"/>
      <c r="JJ19" s="7"/>
      <c r="JK19" s="7"/>
      <c r="JL19" s="7"/>
      <c r="JM19" s="7"/>
      <c r="JN19" s="7"/>
      <c r="JO19" s="7"/>
      <c r="JP19" s="7"/>
      <c r="JQ19" s="7"/>
      <c r="JR19" s="7"/>
      <c r="JS19" s="7"/>
      <c r="JT19" s="7"/>
      <c r="JU19" s="7"/>
      <c r="JV19" s="7"/>
      <c r="JW19" s="7"/>
      <c r="JX19" s="7"/>
      <c r="JY19" s="7"/>
      <c r="JZ19" s="7"/>
      <c r="KA19" s="7"/>
      <c r="KB19" s="7"/>
      <c r="KC19" s="7"/>
      <c r="KD19" s="7"/>
      <c r="KE19" s="7"/>
      <c r="KF19" s="7"/>
      <c r="KG19" s="7"/>
      <c r="KH19" s="7"/>
      <c r="KI19" s="7"/>
      <c r="KJ19" s="7"/>
      <c r="KK19" s="7"/>
      <c r="KL19" s="7"/>
      <c r="KM19" s="7"/>
      <c r="KN19" s="7"/>
      <c r="KO19" s="7"/>
      <c r="KP19" s="7"/>
      <c r="KQ19" s="7"/>
      <c r="KR19" s="7"/>
      <c r="KS19" s="7"/>
      <c r="KT19" s="7"/>
      <c r="KU19" s="7"/>
      <c r="KV19" s="7"/>
      <c r="KW19" s="7"/>
      <c r="KX19" s="7"/>
      <c r="KY19" s="7"/>
      <c r="KZ19" s="7"/>
      <c r="LA19" s="7"/>
      <c r="LB19" s="7"/>
      <c r="LC19" s="7"/>
      <c r="LD19" s="7"/>
      <c r="LE19" s="7"/>
      <c r="LF19" s="7"/>
      <c r="LG19" s="7"/>
      <c r="LH19" s="7"/>
      <c r="LI19" s="7"/>
      <c r="LJ19" s="7"/>
      <c r="LK19" s="7"/>
      <c r="LL19" s="7"/>
      <c r="LM19" s="7"/>
      <c r="LN19" s="7"/>
      <c r="LO19" s="7"/>
      <c r="LP19" s="7"/>
      <c r="LQ19" s="7"/>
      <c r="LR19" s="7"/>
      <c r="LS19" s="7"/>
      <c r="LT19" s="7"/>
      <c r="LU19" s="7"/>
      <c r="LV19" s="7"/>
      <c r="LW19" s="7"/>
      <c r="LX19" s="7"/>
      <c r="LY19" s="7"/>
    </row>
    <row r="20" spans="12:337" s="6" customFormat="1" x14ac:dyDescent="0.25">
      <c r="M20" s="7"/>
      <c r="N20" s="7"/>
      <c r="O20" s="7"/>
      <c r="P20" s="7"/>
      <c r="Q20" s="7"/>
      <c r="R20" s="7"/>
      <c r="AC20" s="7"/>
      <c r="AD20" s="7"/>
      <c r="AE20" s="7"/>
      <c r="AF20" s="7"/>
      <c r="AG20" s="7"/>
      <c r="AH20" s="7"/>
      <c r="AI20" s="7"/>
      <c r="AJ20" s="7"/>
      <c r="AK20" s="7"/>
      <c r="AL20" s="7"/>
      <c r="AM20" s="7"/>
      <c r="AN20" s="7"/>
      <c r="AO20" s="7"/>
      <c r="AP20" s="7"/>
      <c r="AQ20" s="7"/>
      <c r="AR20" s="7"/>
      <c r="AS20" s="7"/>
      <c r="AT20" s="7"/>
      <c r="AU20" s="7"/>
      <c r="AV20" s="7"/>
      <c r="AW20" s="7"/>
      <c r="AX20" s="7"/>
      <c r="AY20" s="7"/>
      <c r="AZ20" s="7"/>
      <c r="BA20" s="7"/>
      <c r="BB20" s="7"/>
      <c r="BC20" s="7"/>
      <c r="BD20" s="7"/>
      <c r="BE20" s="7"/>
      <c r="BF20" s="7"/>
      <c r="BG20" s="7"/>
      <c r="BH20" s="7"/>
      <c r="BI20" s="7"/>
      <c r="BJ20" s="7"/>
      <c r="BK20" s="7"/>
      <c r="BL20" s="7"/>
      <c r="BM20" s="7"/>
      <c r="BN20" s="7"/>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c r="IW20" s="7"/>
      <c r="IX20" s="7"/>
      <c r="IY20" s="7"/>
      <c r="IZ20" s="7"/>
      <c r="JA20" s="7"/>
      <c r="JB20" s="7"/>
      <c r="JC20" s="7"/>
      <c r="JD20" s="7"/>
      <c r="JE20" s="7"/>
      <c r="JF20" s="7"/>
      <c r="JG20" s="7"/>
      <c r="JH20" s="7"/>
      <c r="JI20" s="7"/>
      <c r="JJ20" s="7"/>
      <c r="JK20" s="7"/>
      <c r="JL20" s="7"/>
      <c r="JM20" s="7"/>
      <c r="JN20" s="7"/>
      <c r="JO20" s="7"/>
      <c r="JP20" s="7"/>
      <c r="JQ20" s="7"/>
      <c r="JR20" s="7"/>
      <c r="JS20" s="7"/>
      <c r="JT20" s="7"/>
      <c r="JU20" s="7"/>
      <c r="JV20" s="7"/>
      <c r="JW20" s="7"/>
      <c r="JX20" s="7"/>
      <c r="JY20" s="7"/>
      <c r="JZ20" s="7"/>
      <c r="KA20" s="7"/>
      <c r="KB20" s="7"/>
      <c r="KC20" s="7"/>
      <c r="KD20" s="7"/>
      <c r="KE20" s="7"/>
      <c r="KF20" s="7"/>
      <c r="KG20" s="7"/>
      <c r="KH20" s="7"/>
      <c r="KI20" s="7"/>
      <c r="KJ20" s="7"/>
      <c r="KK20" s="7"/>
      <c r="KL20" s="7"/>
      <c r="KM20" s="7"/>
      <c r="KN20" s="7"/>
      <c r="KO20" s="7"/>
      <c r="KP20" s="7"/>
      <c r="KQ20" s="7"/>
      <c r="KR20" s="7"/>
      <c r="KS20" s="7"/>
      <c r="KT20" s="7"/>
      <c r="KU20" s="7"/>
      <c r="KV20" s="7"/>
      <c r="KW20" s="7"/>
      <c r="KX20" s="7"/>
      <c r="KY20" s="7"/>
      <c r="KZ20" s="7"/>
      <c r="LA20" s="7"/>
      <c r="LB20" s="7"/>
      <c r="LC20" s="7"/>
      <c r="LD20" s="7"/>
      <c r="LE20" s="7"/>
      <c r="LF20" s="7"/>
      <c r="LG20" s="7"/>
      <c r="LH20" s="7"/>
      <c r="LI20" s="7"/>
      <c r="LJ20" s="7"/>
      <c r="LK20" s="7"/>
      <c r="LL20" s="7"/>
      <c r="LM20" s="7"/>
      <c r="LN20" s="7"/>
      <c r="LO20" s="7"/>
      <c r="LP20" s="7"/>
      <c r="LQ20" s="7"/>
      <c r="LR20" s="7"/>
      <c r="LS20" s="7"/>
      <c r="LT20" s="7"/>
      <c r="LU20" s="7"/>
      <c r="LV20" s="7"/>
      <c r="LW20" s="7"/>
      <c r="LX20" s="7"/>
      <c r="LY20" s="7"/>
    </row>
    <row r="21" spans="12:337" s="6" customFormat="1" x14ac:dyDescent="0.25">
      <c r="M21" s="7"/>
      <c r="N21" s="7"/>
      <c r="O21" s="7"/>
      <c r="P21" s="7"/>
      <c r="Q21" s="7"/>
      <c r="R21" s="7"/>
      <c r="AC21" s="7"/>
      <c r="AD21" s="7"/>
      <c r="AE21" s="7"/>
      <c r="AF21" s="7"/>
      <c r="AG21" s="7"/>
      <c r="AH21" s="7"/>
      <c r="AI21" s="7"/>
      <c r="AJ21" s="7"/>
      <c r="AK21" s="7"/>
      <c r="AL21" s="7"/>
      <c r="AM21" s="7"/>
      <c r="AN21" s="7"/>
      <c r="AO21" s="7"/>
      <c r="AP21" s="7"/>
      <c r="AQ21" s="7"/>
      <c r="AR21" s="7"/>
      <c r="AS21" s="7"/>
      <c r="AT21" s="7"/>
      <c r="AU21" s="7"/>
      <c r="AV21" s="7"/>
      <c r="AW21" s="7"/>
      <c r="AX21" s="7"/>
      <c r="AY21" s="7"/>
      <c r="AZ21" s="7"/>
      <c r="BA21" s="7"/>
      <c r="BB21" s="7"/>
      <c r="BC21" s="7"/>
      <c r="BD21" s="7"/>
      <c r="BE21" s="7"/>
      <c r="BF21" s="7"/>
      <c r="BG21" s="7"/>
      <c r="BH21" s="7"/>
      <c r="BI21" s="7"/>
      <c r="BJ21" s="7"/>
      <c r="BK21" s="7"/>
      <c r="BL21" s="7"/>
      <c r="BM21" s="7"/>
      <c r="BN21" s="7"/>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c r="IW21" s="7"/>
      <c r="IX21" s="7"/>
      <c r="IY21" s="7"/>
      <c r="IZ21" s="7"/>
      <c r="JA21" s="7"/>
      <c r="JB21" s="7"/>
      <c r="JC21" s="7"/>
      <c r="JD21" s="7"/>
      <c r="JE21" s="7"/>
      <c r="JF21" s="7"/>
      <c r="JG21" s="7"/>
      <c r="JH21" s="7"/>
      <c r="JI21" s="7"/>
      <c r="JJ21" s="7"/>
      <c r="JK21" s="7"/>
      <c r="JL21" s="7"/>
      <c r="JM21" s="7"/>
      <c r="JN21" s="7"/>
      <c r="JO21" s="7"/>
      <c r="JP21" s="7"/>
      <c r="JQ21" s="7"/>
      <c r="JR21" s="7"/>
      <c r="JS21" s="7"/>
      <c r="JT21" s="7"/>
      <c r="JU21" s="7"/>
      <c r="JV21" s="7"/>
      <c r="JW21" s="7"/>
      <c r="JX21" s="7"/>
      <c r="JY21" s="7"/>
      <c r="JZ21" s="7"/>
      <c r="KA21" s="7"/>
      <c r="KB21" s="7"/>
      <c r="KC21" s="7"/>
      <c r="KD21" s="7"/>
      <c r="KE21" s="7"/>
      <c r="KF21" s="7"/>
      <c r="KG21" s="7"/>
      <c r="KH21" s="7"/>
      <c r="KI21" s="7"/>
      <c r="KJ21" s="7"/>
      <c r="KK21" s="7"/>
      <c r="KL21" s="7"/>
      <c r="KM21" s="7"/>
      <c r="KN21" s="7"/>
      <c r="KO21" s="7"/>
      <c r="KP21" s="7"/>
      <c r="KQ21" s="7"/>
      <c r="KR21" s="7"/>
      <c r="KS21" s="7"/>
      <c r="KT21" s="7"/>
      <c r="KU21" s="7"/>
      <c r="KV21" s="7"/>
      <c r="KW21" s="7"/>
      <c r="KX21" s="7"/>
      <c r="KY21" s="7"/>
      <c r="KZ21" s="7"/>
      <c r="LA21" s="7"/>
      <c r="LB21" s="7"/>
      <c r="LC21" s="7"/>
      <c r="LD21" s="7"/>
      <c r="LE21" s="7"/>
      <c r="LF21" s="7"/>
      <c r="LG21" s="7"/>
      <c r="LH21" s="7"/>
      <c r="LI21" s="7"/>
      <c r="LJ21" s="7"/>
      <c r="LK21" s="7"/>
      <c r="LL21" s="7"/>
      <c r="LM21" s="7"/>
      <c r="LN21" s="7"/>
      <c r="LO21" s="7"/>
      <c r="LP21" s="7"/>
      <c r="LQ21" s="7"/>
      <c r="LR21" s="7"/>
      <c r="LS21" s="7"/>
      <c r="LT21" s="7"/>
      <c r="LU21" s="7"/>
      <c r="LV21" s="7"/>
      <c r="LW21" s="7"/>
      <c r="LX21" s="7"/>
      <c r="LY21" s="7"/>
    </row>
    <row r="22" spans="12:337" s="6" customFormat="1" x14ac:dyDescent="0.25">
      <c r="AC22" s="7"/>
      <c r="AD22" s="7"/>
      <c r="AE22" s="7"/>
      <c r="AF22" s="7"/>
      <c r="AG22" s="7"/>
      <c r="AH22" s="7"/>
      <c r="AI22" s="7"/>
      <c r="AJ22" s="7"/>
      <c r="AK22" s="7"/>
      <c r="AL22" s="7"/>
      <c r="AM22" s="7"/>
      <c r="AN22" s="7"/>
      <c r="AO22" s="7"/>
      <c r="AP22" s="7"/>
      <c r="AQ22" s="7"/>
      <c r="AR22" s="7"/>
      <c r="AS22" s="7"/>
      <c r="AT22" s="7"/>
      <c r="AU22" s="7"/>
      <c r="AV22" s="7"/>
      <c r="AW22" s="7"/>
      <c r="AX22" s="7"/>
      <c r="AY22" s="7"/>
      <c r="AZ22" s="7"/>
      <c r="BA22" s="7"/>
      <c r="BB22" s="7"/>
      <c r="BC22" s="7"/>
      <c r="BD22" s="7"/>
      <c r="BE22" s="7"/>
      <c r="BF22" s="7"/>
      <c r="BG22" s="7"/>
      <c r="BH22" s="7"/>
      <c r="BI22" s="7"/>
      <c r="BJ22" s="7"/>
      <c r="BK22" s="7"/>
      <c r="BL22" s="7"/>
      <c r="BM22" s="7"/>
      <c r="BN22" s="7"/>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c r="IW22" s="7"/>
      <c r="IX22" s="7"/>
      <c r="IY22" s="7"/>
      <c r="IZ22" s="7"/>
      <c r="JA22" s="7"/>
      <c r="JB22" s="7"/>
      <c r="JC22" s="7"/>
      <c r="JD22" s="7"/>
      <c r="JE22" s="7"/>
      <c r="JF22" s="7"/>
      <c r="JG22" s="7"/>
      <c r="JH22" s="7"/>
      <c r="JI22" s="7"/>
      <c r="JJ22" s="7"/>
      <c r="JK22" s="7"/>
      <c r="JL22" s="7"/>
      <c r="JM22" s="7"/>
      <c r="JN22" s="7"/>
      <c r="JO22" s="7"/>
      <c r="JP22" s="7"/>
      <c r="JQ22" s="7"/>
      <c r="JR22" s="7"/>
      <c r="JS22" s="7"/>
      <c r="JT22" s="7"/>
      <c r="JU22" s="7"/>
      <c r="JV22" s="7"/>
      <c r="JW22" s="7"/>
      <c r="JX22" s="7"/>
      <c r="JY22" s="7"/>
      <c r="JZ22" s="7"/>
      <c r="KA22" s="7"/>
      <c r="KB22" s="7"/>
      <c r="KC22" s="7"/>
      <c r="KD22" s="7"/>
      <c r="KE22" s="7"/>
      <c r="KF22" s="7"/>
      <c r="KG22" s="7"/>
      <c r="KH22" s="7"/>
      <c r="KI22" s="7"/>
      <c r="KJ22" s="7"/>
      <c r="KK22" s="7"/>
      <c r="KL22" s="7"/>
      <c r="KM22" s="7"/>
      <c r="KN22" s="7"/>
      <c r="KO22" s="7"/>
      <c r="KP22" s="7"/>
      <c r="KQ22" s="7"/>
      <c r="KR22" s="7"/>
      <c r="KS22" s="7"/>
      <c r="KT22" s="7"/>
      <c r="KU22" s="7"/>
      <c r="KV22" s="7"/>
      <c r="KW22" s="7"/>
      <c r="KX22" s="7"/>
      <c r="KY22" s="7"/>
      <c r="KZ22" s="7"/>
      <c r="LA22" s="7"/>
      <c r="LB22" s="7"/>
      <c r="LC22" s="7"/>
      <c r="LD22" s="7"/>
      <c r="LE22" s="7"/>
      <c r="LF22" s="7"/>
      <c r="LG22" s="7"/>
      <c r="LH22" s="7"/>
      <c r="LI22" s="7"/>
      <c r="LJ22" s="7"/>
      <c r="LK22" s="7"/>
      <c r="LL22" s="7"/>
      <c r="LM22" s="7"/>
      <c r="LN22" s="7"/>
      <c r="LO22" s="7"/>
      <c r="LP22" s="7"/>
      <c r="LQ22" s="7"/>
      <c r="LR22" s="7"/>
      <c r="LS22" s="7"/>
      <c r="LT22" s="7"/>
      <c r="LU22" s="7"/>
      <c r="LV22" s="7"/>
      <c r="LW22" s="7"/>
      <c r="LX22" s="7"/>
      <c r="LY22" s="7"/>
    </row>
    <row r="23" spans="12:337" s="6" customFormat="1" x14ac:dyDescent="0.25">
      <c r="AC23" s="7"/>
      <c r="AD23" s="7"/>
      <c r="AE23" s="7"/>
      <c r="AF23" s="7"/>
      <c r="AG23" s="7"/>
      <c r="AH23" s="7"/>
      <c r="AI23" s="7"/>
      <c r="AJ23" s="7"/>
      <c r="AK23" s="7"/>
      <c r="AL23" s="7"/>
      <c r="AM23" s="7"/>
      <c r="AN23" s="7"/>
      <c r="AO23" s="7"/>
      <c r="AP23" s="7"/>
      <c r="AQ23" s="7"/>
      <c r="AR23" s="7"/>
      <c r="AS23" s="7"/>
      <c r="AT23" s="7"/>
      <c r="AU23" s="7"/>
      <c r="AV23" s="7"/>
      <c r="AW23" s="7"/>
      <c r="AX23" s="7"/>
      <c r="AY23" s="7"/>
      <c r="AZ23" s="7"/>
      <c r="BA23" s="7"/>
      <c r="BB23" s="7"/>
      <c r="BC23" s="7"/>
      <c r="BD23" s="7"/>
      <c r="BE23" s="7"/>
      <c r="BF23" s="7"/>
      <c r="BG23" s="7"/>
      <c r="BH23" s="7"/>
      <c r="BI23" s="7"/>
      <c r="BJ23" s="7"/>
      <c r="BK23" s="7"/>
      <c r="BL23" s="7"/>
      <c r="BM23" s="7"/>
      <c r="BN23" s="7"/>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c r="IW23" s="7"/>
      <c r="IX23" s="7"/>
      <c r="IY23" s="7"/>
      <c r="IZ23" s="7"/>
      <c r="JA23" s="7"/>
      <c r="JB23" s="7"/>
      <c r="JC23" s="7"/>
      <c r="JD23" s="7"/>
      <c r="JE23" s="7"/>
      <c r="JF23" s="7"/>
      <c r="JG23" s="7"/>
      <c r="JH23" s="7"/>
      <c r="JI23" s="7"/>
      <c r="JJ23" s="7"/>
      <c r="JK23" s="7"/>
      <c r="JL23" s="7"/>
      <c r="JM23" s="7"/>
      <c r="JN23" s="7"/>
      <c r="JO23" s="7"/>
      <c r="JP23" s="7"/>
      <c r="JQ23" s="7"/>
      <c r="JR23" s="7"/>
      <c r="JS23" s="7"/>
      <c r="JT23" s="7"/>
      <c r="JU23" s="7"/>
      <c r="JV23" s="7"/>
      <c r="JW23" s="7"/>
      <c r="JX23" s="7"/>
      <c r="JY23" s="7"/>
      <c r="JZ23" s="7"/>
      <c r="KA23" s="7"/>
      <c r="KB23" s="7"/>
      <c r="KC23" s="7"/>
      <c r="KD23" s="7"/>
      <c r="KE23" s="7"/>
      <c r="KF23" s="7"/>
      <c r="KG23" s="7"/>
      <c r="KH23" s="7"/>
      <c r="KI23" s="7"/>
      <c r="KJ23" s="7"/>
      <c r="KK23" s="7"/>
      <c r="KL23" s="7"/>
      <c r="KM23" s="7"/>
      <c r="KN23" s="7"/>
      <c r="KO23" s="7"/>
      <c r="KP23" s="7"/>
      <c r="KQ23" s="7"/>
      <c r="KR23" s="7"/>
      <c r="KS23" s="7"/>
      <c r="KT23" s="7"/>
      <c r="KU23" s="7"/>
      <c r="KV23" s="7"/>
      <c r="KW23" s="7"/>
      <c r="KX23" s="7"/>
      <c r="KY23" s="7"/>
      <c r="KZ23" s="7"/>
      <c r="LA23" s="7"/>
      <c r="LB23" s="7"/>
      <c r="LC23" s="7"/>
      <c r="LD23" s="7"/>
      <c r="LE23" s="7"/>
      <c r="LF23" s="7"/>
      <c r="LG23" s="7"/>
      <c r="LH23" s="7"/>
      <c r="LI23" s="7"/>
      <c r="LJ23" s="7"/>
      <c r="LK23" s="7"/>
      <c r="LL23" s="7"/>
      <c r="LM23" s="7"/>
      <c r="LN23" s="7"/>
      <c r="LO23" s="7"/>
      <c r="LP23" s="7"/>
      <c r="LQ23" s="7"/>
      <c r="LR23" s="7"/>
      <c r="LS23" s="7"/>
      <c r="LT23" s="7"/>
      <c r="LU23" s="7"/>
      <c r="LV23" s="7"/>
      <c r="LW23" s="7"/>
      <c r="LX23" s="7"/>
      <c r="LY23" s="7"/>
    </row>
    <row r="24" spans="12:337" s="6" customFormat="1" x14ac:dyDescent="0.25">
      <c r="AC24" s="7"/>
      <c r="AD24" s="7"/>
      <c r="AE24" s="7"/>
      <c r="AF24" s="7"/>
      <c r="AG24" s="7"/>
      <c r="AH24" s="7"/>
      <c r="AI24" s="7"/>
      <c r="AJ24" s="7"/>
      <c r="AK24" s="7"/>
      <c r="AL24" s="7"/>
      <c r="AM24" s="7"/>
      <c r="AN24" s="7"/>
      <c r="AO24" s="7"/>
      <c r="AP24" s="7"/>
      <c r="AQ24" s="7"/>
      <c r="AR24" s="7"/>
      <c r="AS24" s="7"/>
      <c r="AT24" s="7"/>
      <c r="AU24" s="7"/>
      <c r="AV24" s="7"/>
      <c r="AW24" s="7"/>
      <c r="AX24" s="7"/>
      <c r="AY24" s="7"/>
      <c r="AZ24" s="7"/>
      <c r="BA24" s="7"/>
      <c r="BB24" s="7"/>
      <c r="BC24" s="7"/>
      <c r="BD24" s="7"/>
      <c r="BE24" s="7"/>
      <c r="BF24" s="7"/>
      <c r="BG24" s="7"/>
      <c r="BH24" s="7"/>
      <c r="BI24" s="7"/>
      <c r="BJ24" s="7"/>
      <c r="BK24" s="7"/>
      <c r="BL24" s="7"/>
      <c r="BM24" s="7"/>
      <c r="BN24" s="7"/>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c r="IW24" s="7"/>
      <c r="IX24" s="7"/>
      <c r="IY24" s="7"/>
      <c r="IZ24" s="7"/>
      <c r="JA24" s="7"/>
      <c r="JB24" s="7"/>
      <c r="JC24" s="7"/>
      <c r="JD24" s="7"/>
      <c r="JE24" s="7"/>
      <c r="JF24" s="7"/>
      <c r="JG24" s="7"/>
      <c r="JH24" s="7"/>
      <c r="JI24" s="7"/>
      <c r="JJ24" s="7"/>
      <c r="JK24" s="7"/>
      <c r="JL24" s="7"/>
      <c r="JM24" s="7"/>
      <c r="JN24" s="7"/>
      <c r="JO24" s="7"/>
      <c r="JP24" s="7"/>
      <c r="JQ24" s="7"/>
      <c r="JR24" s="7"/>
      <c r="JS24" s="7"/>
      <c r="JT24" s="7"/>
      <c r="JU24" s="7"/>
      <c r="JV24" s="7"/>
      <c r="JW24" s="7"/>
      <c r="JX24" s="7"/>
      <c r="JY24" s="7"/>
      <c r="JZ24" s="7"/>
      <c r="KA24" s="7"/>
      <c r="KB24" s="7"/>
      <c r="KC24" s="7"/>
      <c r="KD24" s="7"/>
      <c r="KE24" s="7"/>
      <c r="KF24" s="7"/>
      <c r="KG24" s="7"/>
      <c r="KH24" s="7"/>
      <c r="KI24" s="7"/>
      <c r="KJ24" s="7"/>
      <c r="KK24" s="7"/>
      <c r="KL24" s="7"/>
      <c r="KM24" s="7"/>
      <c r="KN24" s="7"/>
      <c r="KO24" s="7"/>
      <c r="KP24" s="7"/>
      <c r="KQ24" s="7"/>
      <c r="KR24" s="7"/>
      <c r="KS24" s="7"/>
      <c r="KT24" s="7"/>
      <c r="KU24" s="7"/>
      <c r="KV24" s="7"/>
      <c r="KW24" s="7"/>
      <c r="KX24" s="7"/>
      <c r="KY24" s="7"/>
      <c r="KZ24" s="7"/>
      <c r="LA24" s="7"/>
      <c r="LB24" s="7"/>
      <c r="LC24" s="7"/>
      <c r="LD24" s="7"/>
      <c r="LE24" s="7"/>
      <c r="LF24" s="7"/>
      <c r="LG24" s="7"/>
      <c r="LH24" s="7"/>
      <c r="LI24" s="7"/>
      <c r="LJ24" s="7"/>
      <c r="LK24" s="7"/>
      <c r="LL24" s="7"/>
      <c r="LM24" s="7"/>
      <c r="LN24" s="7"/>
      <c r="LO24" s="7"/>
      <c r="LP24" s="7"/>
      <c r="LQ24" s="7"/>
      <c r="LR24" s="7"/>
      <c r="LS24" s="7"/>
      <c r="LT24" s="7"/>
      <c r="LU24" s="7"/>
      <c r="LV24" s="7"/>
      <c r="LW24" s="7"/>
      <c r="LX24" s="7"/>
      <c r="LY24" s="7"/>
    </row>
    <row r="25" spans="12:337" s="6" customFormat="1" x14ac:dyDescent="0.25">
      <c r="AC25" s="7"/>
      <c r="AD25" s="7"/>
      <c r="AE25" s="7"/>
      <c r="AF25" s="7"/>
      <c r="AG25" s="7"/>
      <c r="AH25" s="7"/>
      <c r="AI25" s="7"/>
      <c r="AJ25" s="7"/>
      <c r="AK25" s="7"/>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c r="IW25" s="7"/>
      <c r="IX25" s="7"/>
      <c r="IY25" s="7"/>
      <c r="IZ25" s="7"/>
      <c r="JA25" s="7"/>
      <c r="JB25" s="7"/>
      <c r="JC25" s="7"/>
      <c r="JD25" s="7"/>
      <c r="JE25" s="7"/>
      <c r="JF25" s="7"/>
      <c r="JG25" s="7"/>
      <c r="JH25" s="7"/>
      <c r="JI25" s="7"/>
      <c r="JJ25" s="7"/>
      <c r="JK25" s="7"/>
      <c r="JL25" s="7"/>
      <c r="JM25" s="7"/>
      <c r="JN25" s="7"/>
      <c r="JO25" s="7"/>
      <c r="JP25" s="7"/>
      <c r="JQ25" s="7"/>
      <c r="JR25" s="7"/>
      <c r="JS25" s="7"/>
      <c r="JT25" s="7"/>
      <c r="JU25" s="7"/>
      <c r="JV25" s="7"/>
      <c r="JW25" s="7"/>
      <c r="JX25" s="7"/>
      <c r="JY25" s="7"/>
      <c r="JZ25" s="7"/>
      <c r="KA25" s="7"/>
      <c r="KB25" s="7"/>
      <c r="KC25" s="7"/>
      <c r="KD25" s="7"/>
      <c r="KE25" s="7"/>
      <c r="KF25" s="7"/>
      <c r="KG25" s="7"/>
      <c r="KH25" s="7"/>
      <c r="KI25" s="7"/>
      <c r="KJ25" s="7"/>
      <c r="KK25" s="7"/>
      <c r="KL25" s="7"/>
      <c r="KM25" s="7"/>
      <c r="KN25" s="7"/>
      <c r="KO25" s="7"/>
      <c r="KP25" s="7"/>
      <c r="KQ25" s="7"/>
      <c r="KR25" s="7"/>
      <c r="KS25" s="7"/>
      <c r="KT25" s="7"/>
      <c r="KU25" s="7"/>
      <c r="KV25" s="7"/>
      <c r="KW25" s="7"/>
      <c r="KX25" s="7"/>
      <c r="KY25" s="7"/>
      <c r="KZ25" s="7"/>
      <c r="LA25" s="7"/>
      <c r="LB25" s="7"/>
      <c r="LC25" s="7"/>
      <c r="LD25" s="7"/>
      <c r="LE25" s="7"/>
      <c r="LF25" s="7"/>
      <c r="LG25" s="7"/>
      <c r="LH25" s="7"/>
      <c r="LI25" s="7"/>
      <c r="LJ25" s="7"/>
      <c r="LK25" s="7"/>
      <c r="LL25" s="7"/>
      <c r="LM25" s="7"/>
      <c r="LN25" s="7"/>
      <c r="LO25" s="7"/>
      <c r="LP25" s="7"/>
      <c r="LQ25" s="7"/>
      <c r="LR25" s="7"/>
      <c r="LS25" s="7"/>
      <c r="LT25" s="7"/>
      <c r="LU25" s="7"/>
      <c r="LV25" s="7"/>
      <c r="LW25" s="7"/>
      <c r="LX25" s="7"/>
      <c r="LY25" s="7"/>
    </row>
    <row r="26" spans="12:337" s="6" customFormat="1" x14ac:dyDescent="0.25">
      <c r="AC26" s="7"/>
      <c r="AD26" s="7"/>
      <c r="AE26" s="7"/>
      <c r="AF26" s="7"/>
      <c r="AG26" s="7"/>
      <c r="AH26" s="7"/>
      <c r="AI26" s="7"/>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c r="IW26" s="7"/>
      <c r="IX26" s="7"/>
      <c r="IY26" s="7"/>
      <c r="IZ26" s="7"/>
      <c r="JA26" s="7"/>
      <c r="JB26" s="7"/>
      <c r="JC26" s="7"/>
      <c r="JD26" s="7"/>
      <c r="JE26" s="7"/>
      <c r="JF26" s="7"/>
      <c r="JG26" s="7"/>
      <c r="JH26" s="7"/>
      <c r="JI26" s="7"/>
      <c r="JJ26" s="7"/>
      <c r="JK26" s="7"/>
      <c r="JL26" s="7"/>
      <c r="JM26" s="7"/>
      <c r="JN26" s="7"/>
      <c r="JO26" s="7"/>
      <c r="JP26" s="7"/>
      <c r="JQ26" s="7"/>
      <c r="JR26" s="7"/>
      <c r="JS26" s="7"/>
      <c r="JT26" s="7"/>
      <c r="JU26" s="7"/>
      <c r="JV26" s="7"/>
      <c r="JW26" s="7"/>
      <c r="JX26" s="7"/>
      <c r="JY26" s="7"/>
      <c r="JZ26" s="7"/>
      <c r="KA26" s="7"/>
      <c r="KB26" s="7"/>
      <c r="KC26" s="7"/>
      <c r="KD26" s="7"/>
      <c r="KE26" s="7"/>
      <c r="KF26" s="7"/>
      <c r="KG26" s="7"/>
      <c r="KH26" s="7"/>
      <c r="KI26" s="7"/>
      <c r="KJ26" s="7"/>
      <c r="KK26" s="7"/>
      <c r="KL26" s="7"/>
      <c r="KM26" s="7"/>
      <c r="KN26" s="7"/>
      <c r="KO26" s="7"/>
      <c r="KP26" s="7"/>
      <c r="KQ26" s="7"/>
      <c r="KR26" s="7"/>
      <c r="KS26" s="7"/>
      <c r="KT26" s="7"/>
      <c r="KU26" s="7"/>
      <c r="KV26" s="7"/>
      <c r="KW26" s="7"/>
      <c r="KX26" s="7"/>
      <c r="KY26" s="7"/>
      <c r="KZ26" s="7"/>
      <c r="LA26" s="7"/>
      <c r="LB26" s="7"/>
      <c r="LC26" s="7"/>
      <c r="LD26" s="7"/>
      <c r="LE26" s="7"/>
      <c r="LF26" s="7"/>
      <c r="LG26" s="7"/>
      <c r="LH26" s="7"/>
      <c r="LI26" s="7"/>
      <c r="LJ26" s="7"/>
      <c r="LK26" s="7"/>
      <c r="LL26" s="7"/>
      <c r="LM26" s="7"/>
      <c r="LN26" s="7"/>
      <c r="LO26" s="7"/>
      <c r="LP26" s="7"/>
      <c r="LQ26" s="7"/>
      <c r="LR26" s="7"/>
      <c r="LS26" s="7"/>
      <c r="LT26" s="7"/>
      <c r="LU26" s="7"/>
      <c r="LV26" s="7"/>
      <c r="LW26" s="7"/>
      <c r="LX26" s="7"/>
      <c r="LY26" s="7"/>
    </row>
    <row r="27" spans="12:337" s="6" customFormat="1" x14ac:dyDescent="0.25">
      <c r="AC27" s="7"/>
      <c r="AD27" s="7"/>
      <c r="AE27" s="7"/>
      <c r="AF27" s="7"/>
      <c r="AG27" s="7"/>
      <c r="AH27" s="7"/>
      <c r="AI27" s="7"/>
      <c r="AJ27" s="7"/>
      <c r="AK27" s="7"/>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c r="IW27" s="7"/>
      <c r="IX27" s="7"/>
      <c r="IY27" s="7"/>
      <c r="IZ27" s="7"/>
      <c r="JA27" s="7"/>
      <c r="JB27" s="7"/>
      <c r="JC27" s="7"/>
      <c r="JD27" s="7"/>
      <c r="JE27" s="7"/>
      <c r="JF27" s="7"/>
      <c r="JG27" s="7"/>
      <c r="JH27" s="7"/>
      <c r="JI27" s="7"/>
      <c r="JJ27" s="7"/>
      <c r="JK27" s="7"/>
      <c r="JL27" s="7"/>
      <c r="JM27" s="7"/>
      <c r="JN27" s="7"/>
      <c r="JO27" s="7"/>
      <c r="JP27" s="7"/>
      <c r="JQ27" s="7"/>
      <c r="JR27" s="7"/>
      <c r="JS27" s="7"/>
      <c r="JT27" s="7"/>
      <c r="JU27" s="7"/>
      <c r="JV27" s="7"/>
      <c r="JW27" s="7"/>
      <c r="JX27" s="7"/>
      <c r="JY27" s="7"/>
      <c r="JZ27" s="7"/>
      <c r="KA27" s="7"/>
      <c r="KB27" s="7"/>
      <c r="KC27" s="7"/>
      <c r="KD27" s="7"/>
      <c r="KE27" s="7"/>
      <c r="KF27" s="7"/>
      <c r="KG27" s="7"/>
      <c r="KH27" s="7"/>
      <c r="KI27" s="7"/>
      <c r="KJ27" s="7"/>
      <c r="KK27" s="7"/>
      <c r="KL27" s="7"/>
      <c r="KM27" s="7"/>
      <c r="KN27" s="7"/>
      <c r="KO27" s="7"/>
      <c r="KP27" s="7"/>
      <c r="KQ27" s="7"/>
      <c r="KR27" s="7"/>
      <c r="KS27" s="7"/>
      <c r="KT27" s="7"/>
      <c r="KU27" s="7"/>
      <c r="KV27" s="7"/>
      <c r="KW27" s="7"/>
      <c r="KX27" s="7"/>
      <c r="KY27" s="7"/>
      <c r="KZ27" s="7"/>
      <c r="LA27" s="7"/>
      <c r="LB27" s="7"/>
      <c r="LC27" s="7"/>
      <c r="LD27" s="7"/>
      <c r="LE27" s="7"/>
      <c r="LF27" s="7"/>
      <c r="LG27" s="7"/>
      <c r="LH27" s="7"/>
      <c r="LI27" s="7"/>
      <c r="LJ27" s="7"/>
      <c r="LK27" s="7"/>
      <c r="LL27" s="7"/>
      <c r="LM27" s="7"/>
      <c r="LN27" s="7"/>
      <c r="LO27" s="7"/>
      <c r="LP27" s="7"/>
      <c r="LQ27" s="7"/>
      <c r="LR27" s="7"/>
      <c r="LS27" s="7"/>
      <c r="LT27" s="7"/>
      <c r="LU27" s="7"/>
      <c r="LV27" s="7"/>
      <c r="LW27" s="7"/>
      <c r="LX27" s="7"/>
      <c r="LY27" s="7"/>
    </row>
    <row r="28" spans="12:337" s="6" customFormat="1" x14ac:dyDescent="0.25">
      <c r="AC28" s="7"/>
      <c r="AD28" s="7"/>
      <c r="AE28" s="7"/>
      <c r="AF28" s="7"/>
      <c r="AG28" s="7"/>
      <c r="AH28" s="7"/>
      <c r="AI28" s="7"/>
      <c r="AJ28" s="7"/>
      <c r="AK28" s="7"/>
      <c r="AL28" s="7"/>
      <c r="AM28" s="7"/>
      <c r="AN28" s="7"/>
      <c r="AO28" s="7"/>
      <c r="AP28" s="7"/>
      <c r="AQ28" s="7"/>
      <c r="AR28" s="7"/>
      <c r="AS28" s="7"/>
      <c r="AT28" s="7"/>
      <c r="AU28" s="7"/>
      <c r="AV28" s="7"/>
      <c r="AW28" s="7"/>
      <c r="AX28" s="7"/>
      <c r="AY28" s="7"/>
      <c r="AZ28" s="7"/>
      <c r="BA28" s="7"/>
      <c r="BB28" s="7"/>
      <c r="BC28" s="7"/>
      <c r="BD28" s="7"/>
      <c r="BE28" s="7"/>
      <c r="BF28" s="7"/>
      <c r="BG28" s="7"/>
      <c r="BH28" s="7"/>
      <c r="BI28" s="7"/>
      <c r="BJ28" s="7"/>
      <c r="BK28" s="7"/>
      <c r="BL28" s="7"/>
      <c r="BM28" s="7"/>
      <c r="BN28" s="7"/>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c r="IW28" s="7"/>
      <c r="IX28" s="7"/>
      <c r="IY28" s="7"/>
      <c r="IZ28" s="7"/>
      <c r="JA28" s="7"/>
      <c r="JB28" s="7"/>
      <c r="JC28" s="7"/>
      <c r="JD28" s="7"/>
      <c r="JE28" s="7"/>
      <c r="JF28" s="7"/>
      <c r="JG28" s="7"/>
      <c r="JH28" s="7"/>
      <c r="JI28" s="7"/>
      <c r="JJ28" s="7"/>
      <c r="JK28" s="7"/>
      <c r="JL28" s="7"/>
      <c r="JM28" s="7"/>
      <c r="JN28" s="7"/>
      <c r="JO28" s="7"/>
      <c r="JP28" s="7"/>
      <c r="JQ28" s="7"/>
      <c r="JR28" s="7"/>
      <c r="JS28" s="7"/>
      <c r="JT28" s="7"/>
      <c r="JU28" s="7"/>
      <c r="JV28" s="7"/>
      <c r="JW28" s="7"/>
      <c r="JX28" s="7"/>
      <c r="JY28" s="7"/>
      <c r="JZ28" s="7"/>
      <c r="KA28" s="7"/>
      <c r="KB28" s="7"/>
      <c r="KC28" s="7"/>
      <c r="KD28" s="7"/>
      <c r="KE28" s="7"/>
      <c r="KF28" s="7"/>
      <c r="KG28" s="7"/>
      <c r="KH28" s="7"/>
      <c r="KI28" s="7"/>
      <c r="KJ28" s="7"/>
      <c r="KK28" s="7"/>
      <c r="KL28" s="7"/>
      <c r="KM28" s="7"/>
      <c r="KN28" s="7"/>
      <c r="KO28" s="7"/>
      <c r="KP28" s="7"/>
      <c r="KQ28" s="7"/>
      <c r="KR28" s="7"/>
      <c r="KS28" s="7"/>
      <c r="KT28" s="7"/>
      <c r="KU28" s="7"/>
      <c r="KV28" s="7"/>
      <c r="KW28" s="7"/>
      <c r="KX28" s="7"/>
      <c r="KY28" s="7"/>
      <c r="KZ28" s="7"/>
      <c r="LA28" s="7"/>
      <c r="LB28" s="7"/>
      <c r="LC28" s="7"/>
      <c r="LD28" s="7"/>
      <c r="LE28" s="7"/>
      <c r="LF28" s="7"/>
      <c r="LG28" s="7"/>
      <c r="LH28" s="7"/>
      <c r="LI28" s="7"/>
      <c r="LJ28" s="7"/>
      <c r="LK28" s="7"/>
      <c r="LL28" s="7"/>
      <c r="LM28" s="7"/>
      <c r="LN28" s="7"/>
      <c r="LO28" s="7"/>
      <c r="LP28" s="7"/>
      <c r="LQ28" s="7"/>
      <c r="LR28" s="7"/>
      <c r="LS28" s="7"/>
      <c r="LT28" s="7"/>
      <c r="LU28" s="7"/>
      <c r="LV28" s="7"/>
      <c r="LW28" s="7"/>
      <c r="LX28" s="7"/>
      <c r="LY28" s="7"/>
    </row>
    <row r="29" spans="12:337" s="6" customFormat="1" x14ac:dyDescent="0.25">
      <c r="AC29" s="7"/>
      <c r="AD29" s="7"/>
      <c r="AE29" s="7"/>
      <c r="AF29" s="7"/>
      <c r="AG29" s="7"/>
      <c r="AH29" s="7"/>
      <c r="AI29" s="7"/>
      <c r="AJ29" s="7"/>
      <c r="AK29" s="7"/>
      <c r="AL29" s="7"/>
      <c r="AM29" s="7"/>
      <c r="AN29" s="7"/>
      <c r="AO29" s="7"/>
      <c r="AP29" s="7"/>
      <c r="AQ29" s="7"/>
      <c r="AR29" s="7"/>
      <c r="AS29" s="7"/>
      <c r="AT29" s="7"/>
      <c r="AU29" s="7"/>
      <c r="AV29" s="7"/>
      <c r="AW29" s="7"/>
      <c r="AX29" s="7"/>
      <c r="AY29" s="7"/>
      <c r="AZ29" s="7"/>
      <c r="BA29" s="7"/>
      <c r="BB29" s="7"/>
      <c r="BC29" s="7"/>
      <c r="BD29" s="7"/>
      <c r="BE29" s="7"/>
      <c r="BF29" s="7"/>
      <c r="BG29" s="7"/>
      <c r="BH29" s="7"/>
      <c r="BI29" s="7"/>
      <c r="BJ29" s="7"/>
      <c r="BK29" s="7"/>
      <c r="BL29" s="7"/>
      <c r="BM29" s="7"/>
      <c r="BN29" s="7"/>
      <c r="BO29" s="7"/>
      <c r="BP29" s="7"/>
      <c r="BQ29" s="7"/>
      <c r="BR29" s="7"/>
      <c r="BS29" s="7"/>
      <c r="BT29" s="7"/>
      <c r="BU29" s="7"/>
      <c r="BV29" s="7"/>
      <c r="BW29" s="7"/>
      <c r="BX29" s="7"/>
      <c r="BY29" s="7"/>
      <c r="BZ29" s="7"/>
      <c r="CA29" s="7"/>
      <c r="CB29" s="7"/>
      <c r="CC29" s="7"/>
      <c r="CD29" s="7"/>
      <c r="CE29" s="7"/>
      <c r="CF29" s="7"/>
      <c r="CG29" s="7"/>
      <c r="CH29" s="7"/>
      <c r="CI29" s="7"/>
      <c r="CJ29" s="7"/>
      <c r="CK29" s="7"/>
      <c r="CL29" s="7"/>
      <c r="CM29" s="7"/>
      <c r="CN29" s="7"/>
      <c r="CO29" s="7"/>
      <c r="CP29" s="7"/>
      <c r="CQ29" s="7"/>
      <c r="CR29" s="7"/>
      <c r="CS29" s="7"/>
      <c r="CT29" s="7"/>
      <c r="CU29" s="7"/>
      <c r="CV29" s="7"/>
      <c r="CW29" s="7"/>
      <c r="CX29" s="7"/>
      <c r="CY29" s="7"/>
      <c r="CZ29" s="7"/>
      <c r="DA29" s="7"/>
      <c r="DB29" s="7"/>
      <c r="DC29" s="7"/>
      <c r="DD29" s="7"/>
      <c r="DE29" s="7"/>
      <c r="DF29" s="7"/>
      <c r="DG29" s="7"/>
      <c r="DH29" s="7"/>
      <c r="DI29" s="7"/>
      <c r="DJ29" s="7"/>
      <c r="DK29" s="7"/>
      <c r="DL29" s="7"/>
      <c r="DM29" s="7"/>
      <c r="DN29" s="7"/>
      <c r="DO29" s="7"/>
      <c r="DP29" s="7"/>
      <c r="DQ29" s="7"/>
      <c r="DR29" s="7"/>
      <c r="DS29" s="7"/>
      <c r="DT29" s="7"/>
      <c r="DU29" s="7"/>
      <c r="DV29" s="7"/>
      <c r="DW29" s="7"/>
      <c r="DX29" s="7"/>
      <c r="DY29" s="7"/>
      <c r="DZ29" s="7"/>
      <c r="EA29" s="7"/>
      <c r="EB29" s="7"/>
      <c r="EC29" s="7"/>
      <c r="ED29" s="7"/>
      <c r="EE29" s="7"/>
      <c r="EF29" s="7"/>
      <c r="EG29" s="7"/>
      <c r="EH29" s="7"/>
      <c r="EI29" s="7"/>
      <c r="EJ29" s="7"/>
      <c r="EK29" s="7"/>
      <c r="EL29" s="7"/>
      <c r="EM29" s="7"/>
      <c r="EN29" s="7"/>
      <c r="EO29" s="7"/>
      <c r="EP29" s="7"/>
      <c r="EQ29" s="7"/>
      <c r="ER29" s="7"/>
      <c r="ES29" s="7"/>
      <c r="ET29" s="7"/>
      <c r="EU29" s="7"/>
      <c r="EV29" s="7"/>
      <c r="EW29" s="7"/>
      <c r="EX29" s="7"/>
      <c r="EY29" s="7"/>
      <c r="EZ29" s="7"/>
      <c r="FA29" s="7"/>
      <c r="FB29" s="7"/>
      <c r="FC29" s="7"/>
      <c r="FD29" s="7"/>
      <c r="FE29" s="7"/>
      <c r="FF29" s="7"/>
      <c r="FG29" s="7"/>
      <c r="FH29" s="7"/>
      <c r="FI29" s="7"/>
      <c r="FJ29" s="7"/>
      <c r="FK29" s="7"/>
      <c r="FL29" s="7"/>
      <c r="FM29" s="7"/>
      <c r="FN29" s="7"/>
      <c r="FO29" s="7"/>
      <c r="FP29" s="7"/>
      <c r="FQ29" s="7"/>
      <c r="FR29" s="7"/>
      <c r="FS29" s="7"/>
      <c r="FT29" s="7"/>
      <c r="FU29" s="7"/>
      <c r="FV29" s="7"/>
      <c r="FW29" s="7"/>
      <c r="FX29" s="7"/>
      <c r="FY29" s="7"/>
      <c r="FZ29" s="7"/>
      <c r="GA29" s="7"/>
      <c r="GB29" s="7"/>
      <c r="GC29" s="7"/>
      <c r="GD29" s="7"/>
      <c r="GE29" s="7"/>
      <c r="GF29" s="7"/>
      <c r="GG29" s="7"/>
      <c r="GH29" s="7"/>
      <c r="GI29" s="7"/>
      <c r="GJ29" s="7"/>
      <c r="GK29" s="7"/>
      <c r="GL29" s="7"/>
      <c r="GM29" s="7"/>
      <c r="GN29" s="7"/>
      <c r="GO29" s="7"/>
      <c r="GP29" s="7"/>
      <c r="GQ29" s="7"/>
      <c r="GR29" s="7"/>
      <c r="GS29" s="7"/>
      <c r="GT29" s="7"/>
      <c r="GU29" s="7"/>
      <c r="GV29" s="7"/>
      <c r="GW29" s="7"/>
      <c r="GX29" s="7"/>
      <c r="GY29" s="7"/>
      <c r="GZ29" s="7"/>
      <c r="HA29" s="7"/>
      <c r="HB29" s="7"/>
      <c r="HC29" s="7"/>
      <c r="HD29" s="7"/>
      <c r="HE29" s="7"/>
      <c r="HF29" s="7"/>
      <c r="HG29" s="7"/>
      <c r="HH29" s="7"/>
      <c r="HI29" s="7"/>
      <c r="HJ29" s="7"/>
      <c r="HK29" s="7"/>
      <c r="HL29" s="7"/>
      <c r="HM29" s="7"/>
      <c r="HN29" s="7"/>
      <c r="HO29" s="7"/>
      <c r="HP29" s="7"/>
      <c r="HQ29" s="7"/>
      <c r="HR29" s="7"/>
      <c r="HS29" s="7"/>
      <c r="HT29" s="7"/>
      <c r="HU29" s="7"/>
      <c r="HV29" s="7"/>
      <c r="HW29" s="7"/>
      <c r="HX29" s="7"/>
      <c r="HY29" s="7"/>
      <c r="HZ29" s="7"/>
      <c r="IA29" s="7"/>
      <c r="IB29" s="7"/>
      <c r="IC29" s="7"/>
      <c r="ID29" s="7"/>
      <c r="IE29" s="7"/>
      <c r="IF29" s="7"/>
      <c r="IG29" s="7"/>
      <c r="IH29" s="7"/>
      <c r="II29" s="7"/>
      <c r="IJ29" s="7"/>
      <c r="IK29" s="7"/>
      <c r="IL29" s="7"/>
      <c r="IM29" s="7"/>
      <c r="IN29" s="7"/>
      <c r="IO29" s="7"/>
      <c r="IP29" s="7"/>
      <c r="IQ29" s="7"/>
      <c r="IR29" s="7"/>
      <c r="IS29" s="7"/>
      <c r="IT29" s="7"/>
      <c r="IU29" s="7"/>
      <c r="IV29" s="7"/>
      <c r="IW29" s="7"/>
      <c r="IX29" s="7"/>
      <c r="IY29" s="7"/>
      <c r="IZ29" s="7"/>
      <c r="JA29" s="7"/>
      <c r="JB29" s="7"/>
      <c r="JC29" s="7"/>
      <c r="JD29" s="7"/>
      <c r="JE29" s="7"/>
      <c r="JF29" s="7"/>
      <c r="JG29" s="7"/>
      <c r="JH29" s="7"/>
      <c r="JI29" s="7"/>
      <c r="JJ29" s="7"/>
      <c r="JK29" s="7"/>
      <c r="JL29" s="7"/>
      <c r="JM29" s="7"/>
      <c r="JN29" s="7"/>
      <c r="JO29" s="7"/>
      <c r="JP29" s="7"/>
      <c r="JQ29" s="7"/>
      <c r="JR29" s="7"/>
      <c r="JS29" s="7"/>
      <c r="JT29" s="7"/>
      <c r="JU29" s="7"/>
      <c r="JV29" s="7"/>
      <c r="JW29" s="7"/>
      <c r="JX29" s="7"/>
      <c r="JY29" s="7"/>
      <c r="JZ29" s="7"/>
      <c r="KA29" s="7"/>
      <c r="KB29" s="7"/>
      <c r="KC29" s="7"/>
      <c r="KD29" s="7"/>
      <c r="KE29" s="7"/>
      <c r="KF29" s="7"/>
      <c r="KG29" s="7"/>
      <c r="KH29" s="7"/>
      <c r="KI29" s="7"/>
      <c r="KJ29" s="7"/>
      <c r="KK29" s="7"/>
      <c r="KL29" s="7"/>
      <c r="KM29" s="7"/>
      <c r="KN29" s="7"/>
      <c r="KO29" s="7"/>
      <c r="KP29" s="7"/>
      <c r="KQ29" s="7"/>
      <c r="KR29" s="7"/>
      <c r="KS29" s="7"/>
      <c r="KT29" s="7"/>
      <c r="KU29" s="7"/>
      <c r="KV29" s="7"/>
      <c r="KW29" s="7"/>
      <c r="KX29" s="7"/>
      <c r="KY29" s="7"/>
      <c r="KZ29" s="7"/>
      <c r="LA29" s="7"/>
      <c r="LB29" s="7"/>
      <c r="LC29" s="7"/>
      <c r="LD29" s="7"/>
      <c r="LE29" s="7"/>
      <c r="LF29" s="7"/>
      <c r="LG29" s="7"/>
      <c r="LH29" s="7"/>
      <c r="LI29" s="7"/>
      <c r="LJ29" s="7"/>
      <c r="LK29" s="7"/>
      <c r="LL29" s="7"/>
      <c r="LM29" s="7"/>
      <c r="LN29" s="7"/>
      <c r="LO29" s="7"/>
      <c r="LP29" s="7"/>
      <c r="LQ29" s="7"/>
      <c r="LR29" s="7"/>
      <c r="LS29" s="7"/>
      <c r="LT29" s="7"/>
      <c r="LU29" s="7"/>
      <c r="LV29" s="7"/>
      <c r="LW29" s="7"/>
      <c r="LX29" s="7"/>
      <c r="LY29" s="7"/>
    </row>
    <row r="30" spans="12:337" s="6" customFormat="1" x14ac:dyDescent="0.25">
      <c r="AC30" s="7"/>
      <c r="AD30" s="7"/>
      <c r="AE30" s="7"/>
      <c r="AF30" s="7"/>
      <c r="AG30" s="7"/>
      <c r="AH30" s="7"/>
      <c r="AI30" s="7"/>
      <c r="AJ30" s="7"/>
      <c r="AK30" s="7"/>
      <c r="AL30" s="7"/>
      <c r="AM30" s="7"/>
      <c r="AN30" s="7"/>
      <c r="AO30" s="7"/>
      <c r="AP30" s="7"/>
      <c r="AQ30" s="7"/>
      <c r="AR30" s="7"/>
      <c r="AS30" s="7"/>
      <c r="AT30" s="7"/>
      <c r="AU30" s="7"/>
      <c r="AV30" s="7"/>
      <c r="AW30" s="7"/>
      <c r="AX30" s="7"/>
      <c r="AY30" s="7"/>
      <c r="AZ30" s="7"/>
      <c r="BA30" s="7"/>
      <c r="BB30" s="7"/>
      <c r="BC30" s="7"/>
      <c r="BD30" s="7"/>
      <c r="BE30" s="7"/>
      <c r="BF30" s="7"/>
      <c r="BG30" s="7"/>
      <c r="BH30" s="7"/>
      <c r="BI30" s="7"/>
      <c r="BJ30" s="7"/>
      <c r="BK30" s="7"/>
      <c r="BL30" s="7"/>
      <c r="BM30" s="7"/>
      <c r="BN30" s="7"/>
      <c r="BO30" s="7"/>
      <c r="BP30" s="7"/>
      <c r="BQ30" s="7"/>
      <c r="BR30" s="7"/>
      <c r="BS30" s="7"/>
      <c r="BT30" s="7"/>
      <c r="BU30" s="7"/>
      <c r="BV30" s="7"/>
      <c r="BW30" s="7"/>
      <c r="BX30" s="7"/>
      <c r="BY30" s="7"/>
      <c r="BZ30" s="7"/>
      <c r="CA30" s="7"/>
      <c r="CB30" s="7"/>
      <c r="CC30" s="7"/>
      <c r="CD30" s="7"/>
      <c r="CE30" s="7"/>
      <c r="CF30" s="7"/>
      <c r="CG30" s="7"/>
      <c r="CH30" s="7"/>
      <c r="CI30" s="7"/>
      <c r="CJ30" s="7"/>
      <c r="CK30" s="7"/>
      <c r="CL30" s="7"/>
      <c r="CM30" s="7"/>
      <c r="CN30" s="7"/>
      <c r="CO30" s="7"/>
      <c r="CP30" s="7"/>
      <c r="CQ30" s="7"/>
      <c r="CR30" s="7"/>
      <c r="CS30" s="7"/>
      <c r="CT30" s="7"/>
      <c r="CU30" s="7"/>
      <c r="CV30" s="7"/>
      <c r="CW30" s="7"/>
      <c r="CX30" s="7"/>
      <c r="CY30" s="7"/>
      <c r="CZ30" s="7"/>
      <c r="DA30" s="7"/>
      <c r="DB30" s="7"/>
      <c r="DC30" s="7"/>
      <c r="DD30" s="7"/>
      <c r="DE30" s="7"/>
      <c r="DF30" s="7"/>
      <c r="DG30" s="7"/>
      <c r="DH30" s="7"/>
      <c r="DI30" s="7"/>
      <c r="DJ30" s="7"/>
      <c r="DK30" s="7"/>
      <c r="DL30" s="7"/>
      <c r="DM30" s="7"/>
      <c r="DN30" s="7"/>
      <c r="DO30" s="7"/>
      <c r="DP30" s="7"/>
      <c r="DQ30" s="7"/>
      <c r="DR30" s="7"/>
      <c r="DS30" s="7"/>
      <c r="DT30" s="7"/>
      <c r="DU30" s="7"/>
      <c r="DV30" s="7"/>
      <c r="DW30" s="7"/>
      <c r="DX30" s="7"/>
      <c r="DY30" s="7"/>
      <c r="DZ30" s="7"/>
      <c r="EA30" s="7"/>
      <c r="EB30" s="7"/>
      <c r="EC30" s="7"/>
      <c r="ED30" s="7"/>
      <c r="EE30" s="7"/>
      <c r="EF30" s="7"/>
      <c r="EG30" s="7"/>
      <c r="EH30" s="7"/>
      <c r="EI30" s="7"/>
      <c r="EJ30" s="7"/>
      <c r="EK30" s="7"/>
      <c r="EL30" s="7"/>
      <c r="EM30" s="7"/>
      <c r="EN30" s="7"/>
      <c r="EO30" s="7"/>
      <c r="EP30" s="7"/>
      <c r="EQ30" s="7"/>
      <c r="ER30" s="7"/>
      <c r="ES30" s="7"/>
      <c r="ET30" s="7"/>
      <c r="EU30" s="7"/>
      <c r="EV30" s="7"/>
      <c r="EW30" s="7"/>
      <c r="EX30" s="7"/>
      <c r="EY30" s="7"/>
      <c r="EZ30" s="7"/>
      <c r="FA30" s="7"/>
      <c r="FB30" s="7"/>
      <c r="FC30" s="7"/>
      <c r="FD30" s="7"/>
      <c r="FE30" s="7"/>
      <c r="FF30" s="7"/>
      <c r="FG30" s="7"/>
      <c r="FH30" s="7"/>
      <c r="FI30" s="7"/>
      <c r="FJ30" s="7"/>
      <c r="FK30" s="7"/>
      <c r="FL30" s="7"/>
      <c r="FM30" s="7"/>
      <c r="FN30" s="7"/>
      <c r="FO30" s="7"/>
      <c r="FP30" s="7"/>
      <c r="FQ30" s="7"/>
      <c r="FR30" s="7"/>
      <c r="FS30" s="7"/>
      <c r="FT30" s="7"/>
      <c r="FU30" s="7"/>
      <c r="FV30" s="7"/>
      <c r="FW30" s="7"/>
      <c r="FX30" s="7"/>
      <c r="FY30" s="7"/>
      <c r="FZ30" s="7"/>
      <c r="GA30" s="7"/>
      <c r="GB30" s="7"/>
      <c r="GC30" s="7"/>
      <c r="GD30" s="7"/>
      <c r="GE30" s="7"/>
      <c r="GF30" s="7"/>
      <c r="GG30" s="7"/>
      <c r="GH30" s="7"/>
      <c r="GI30" s="7"/>
      <c r="GJ30" s="7"/>
      <c r="GK30" s="7"/>
      <c r="GL30" s="7"/>
      <c r="GM30" s="7"/>
      <c r="GN30" s="7"/>
      <c r="GO30" s="7"/>
      <c r="GP30" s="7"/>
      <c r="GQ30" s="7"/>
      <c r="GR30" s="7"/>
      <c r="GS30" s="7"/>
      <c r="GT30" s="7"/>
      <c r="GU30" s="7"/>
      <c r="GV30" s="7"/>
      <c r="GW30" s="7"/>
      <c r="GX30" s="7"/>
      <c r="GY30" s="7"/>
      <c r="GZ30" s="7"/>
      <c r="HA30" s="7"/>
      <c r="HB30" s="7"/>
      <c r="HC30" s="7"/>
      <c r="HD30" s="7"/>
      <c r="HE30" s="7"/>
      <c r="HF30" s="7"/>
      <c r="HG30" s="7"/>
      <c r="HH30" s="7"/>
      <c r="HI30" s="7"/>
      <c r="HJ30" s="7"/>
      <c r="HK30" s="7"/>
      <c r="HL30" s="7"/>
      <c r="HM30" s="7"/>
      <c r="HN30" s="7"/>
      <c r="HO30" s="7"/>
      <c r="HP30" s="7"/>
      <c r="HQ30" s="7"/>
      <c r="HR30" s="7"/>
      <c r="HS30" s="7"/>
      <c r="HT30" s="7"/>
      <c r="HU30" s="7"/>
      <c r="HV30" s="7"/>
      <c r="HW30" s="7"/>
      <c r="HX30" s="7"/>
      <c r="HY30" s="7"/>
      <c r="HZ30" s="7"/>
      <c r="IA30" s="7"/>
      <c r="IB30" s="7"/>
      <c r="IC30" s="7"/>
      <c r="ID30" s="7"/>
      <c r="IE30" s="7"/>
      <c r="IF30" s="7"/>
      <c r="IG30" s="7"/>
      <c r="IH30" s="7"/>
      <c r="II30" s="7"/>
      <c r="IJ30" s="7"/>
      <c r="IK30" s="7"/>
      <c r="IL30" s="7"/>
      <c r="IM30" s="7"/>
      <c r="IN30" s="7"/>
      <c r="IO30" s="7"/>
      <c r="IP30" s="7"/>
      <c r="IQ30" s="7"/>
      <c r="IR30" s="7"/>
      <c r="IS30" s="7"/>
      <c r="IT30" s="7"/>
      <c r="IU30" s="7"/>
      <c r="IV30" s="7"/>
      <c r="IW30" s="7"/>
      <c r="IX30" s="7"/>
      <c r="IY30" s="7"/>
      <c r="IZ30" s="7"/>
      <c r="JA30" s="7"/>
      <c r="JB30" s="7"/>
      <c r="JC30" s="7"/>
      <c r="JD30" s="7"/>
      <c r="JE30" s="7"/>
      <c r="JF30" s="7"/>
      <c r="JG30" s="7"/>
      <c r="JH30" s="7"/>
      <c r="JI30" s="7"/>
      <c r="JJ30" s="7"/>
      <c r="JK30" s="7"/>
      <c r="JL30" s="7"/>
      <c r="JM30" s="7"/>
      <c r="JN30" s="7"/>
      <c r="JO30" s="7"/>
      <c r="JP30" s="7"/>
      <c r="JQ30" s="7"/>
      <c r="JR30" s="7"/>
      <c r="JS30" s="7"/>
      <c r="JT30" s="7"/>
      <c r="JU30" s="7"/>
      <c r="JV30" s="7"/>
      <c r="JW30" s="7"/>
      <c r="JX30" s="7"/>
      <c r="JY30" s="7"/>
      <c r="JZ30" s="7"/>
      <c r="KA30" s="7"/>
      <c r="KB30" s="7"/>
      <c r="KC30" s="7"/>
      <c r="KD30" s="7"/>
      <c r="KE30" s="7"/>
      <c r="KF30" s="7"/>
      <c r="KG30" s="7"/>
      <c r="KH30" s="7"/>
      <c r="KI30" s="7"/>
      <c r="KJ30" s="7"/>
      <c r="KK30" s="7"/>
      <c r="KL30" s="7"/>
      <c r="KM30" s="7"/>
      <c r="KN30" s="7"/>
      <c r="KO30" s="7"/>
      <c r="KP30" s="7"/>
      <c r="KQ30" s="7"/>
      <c r="KR30" s="7"/>
      <c r="KS30" s="7"/>
      <c r="KT30" s="7"/>
      <c r="KU30" s="7"/>
      <c r="KV30" s="7"/>
      <c r="KW30" s="7"/>
      <c r="KX30" s="7"/>
      <c r="KY30" s="7"/>
      <c r="KZ30" s="7"/>
      <c r="LA30" s="7"/>
      <c r="LB30" s="7"/>
      <c r="LC30" s="7"/>
      <c r="LD30" s="7"/>
      <c r="LE30" s="7"/>
      <c r="LF30" s="7"/>
      <c r="LG30" s="7"/>
      <c r="LH30" s="7"/>
      <c r="LI30" s="7"/>
      <c r="LJ30" s="7"/>
      <c r="LK30" s="7"/>
      <c r="LL30" s="7"/>
      <c r="LM30" s="7"/>
      <c r="LN30" s="7"/>
      <c r="LO30" s="7"/>
      <c r="LP30" s="7"/>
      <c r="LQ30" s="7"/>
      <c r="LR30" s="7"/>
      <c r="LS30" s="7"/>
      <c r="LT30" s="7"/>
      <c r="LU30" s="7"/>
      <c r="LV30" s="7"/>
      <c r="LW30" s="7"/>
      <c r="LX30" s="7"/>
      <c r="LY30" s="7"/>
    </row>
    <row r="31" spans="12:337" s="6" customFormat="1" x14ac:dyDescent="0.25">
      <c r="AC31" s="7"/>
      <c r="AD31" s="7"/>
      <c r="AE31" s="7"/>
      <c r="AF31" s="7"/>
      <c r="AG31" s="7"/>
      <c r="AH31" s="7"/>
      <c r="AI31" s="7"/>
      <c r="AJ31" s="7"/>
      <c r="AK31" s="7"/>
      <c r="AL31" s="7"/>
      <c r="AM31" s="7"/>
      <c r="AN31" s="7"/>
      <c r="AO31" s="7"/>
      <c r="AP31" s="7"/>
      <c r="AQ31" s="7"/>
      <c r="AR31" s="7"/>
      <c r="AS31" s="7"/>
      <c r="AT31" s="7"/>
      <c r="AU31" s="7"/>
      <c r="AV31" s="7"/>
      <c r="AW31" s="7"/>
      <c r="AX31" s="7"/>
      <c r="AY31" s="7"/>
      <c r="AZ31" s="7"/>
      <c r="BA31" s="7"/>
      <c r="BB31" s="7"/>
      <c r="BC31" s="7"/>
      <c r="BD31" s="7"/>
      <c r="BE31" s="7"/>
      <c r="BF31" s="7"/>
      <c r="BG31" s="7"/>
      <c r="BH31" s="7"/>
      <c r="BI31" s="7"/>
      <c r="BJ31" s="7"/>
      <c r="BK31" s="7"/>
      <c r="BL31" s="7"/>
      <c r="BM31" s="7"/>
      <c r="BN31" s="7"/>
      <c r="BO31" s="7"/>
      <c r="BP31" s="7"/>
      <c r="BQ31" s="7"/>
      <c r="BR31" s="7"/>
      <c r="BS31" s="7"/>
      <c r="BT31" s="7"/>
      <c r="BU31" s="7"/>
      <c r="BV31" s="7"/>
      <c r="BW31" s="7"/>
      <c r="BX31" s="7"/>
      <c r="BY31" s="7"/>
      <c r="BZ31" s="7"/>
      <c r="CA31" s="7"/>
      <c r="CB31" s="7"/>
      <c r="CC31" s="7"/>
      <c r="CD31" s="7"/>
      <c r="CE31" s="7"/>
      <c r="CF31" s="7"/>
      <c r="CG31" s="7"/>
      <c r="CH31" s="7"/>
      <c r="CI31" s="7"/>
      <c r="CJ31" s="7"/>
      <c r="CK31" s="7"/>
      <c r="CL31" s="7"/>
      <c r="CM31" s="7"/>
      <c r="CN31" s="7"/>
      <c r="CO31" s="7"/>
      <c r="CP31" s="7"/>
      <c r="CQ31" s="7"/>
      <c r="CR31" s="7"/>
      <c r="CS31" s="7"/>
      <c r="CT31" s="7"/>
      <c r="CU31" s="7"/>
      <c r="CV31" s="7"/>
      <c r="CW31" s="7"/>
      <c r="CX31" s="7"/>
      <c r="CY31" s="7"/>
      <c r="CZ31" s="7"/>
      <c r="DA31" s="7"/>
      <c r="DB31" s="7"/>
      <c r="DC31" s="7"/>
      <c r="DD31" s="7"/>
      <c r="DE31" s="7"/>
      <c r="DF31" s="7"/>
      <c r="DG31" s="7"/>
      <c r="DH31" s="7"/>
      <c r="DI31" s="7"/>
      <c r="DJ31" s="7"/>
      <c r="DK31" s="7"/>
      <c r="DL31" s="7"/>
      <c r="DM31" s="7"/>
      <c r="DN31" s="7"/>
      <c r="DO31" s="7"/>
      <c r="DP31" s="7"/>
      <c r="DQ31" s="7"/>
      <c r="DR31" s="7"/>
      <c r="DS31" s="7"/>
      <c r="DT31" s="7"/>
      <c r="DU31" s="7"/>
      <c r="DV31" s="7"/>
      <c r="DW31" s="7"/>
      <c r="DX31" s="7"/>
      <c r="DY31" s="7"/>
      <c r="DZ31" s="7"/>
      <c r="EA31" s="7"/>
      <c r="EB31" s="7"/>
      <c r="EC31" s="7"/>
      <c r="ED31" s="7"/>
      <c r="EE31" s="7"/>
      <c r="EF31" s="7"/>
      <c r="EG31" s="7"/>
      <c r="EH31" s="7"/>
      <c r="EI31" s="7"/>
      <c r="EJ31" s="7"/>
      <c r="EK31" s="7"/>
      <c r="EL31" s="7"/>
      <c r="EM31" s="7"/>
      <c r="EN31" s="7"/>
      <c r="EO31" s="7"/>
      <c r="EP31" s="7"/>
      <c r="EQ31" s="7"/>
      <c r="ER31" s="7"/>
      <c r="ES31" s="7"/>
      <c r="ET31" s="7"/>
      <c r="EU31" s="7"/>
      <c r="EV31" s="7"/>
      <c r="EW31" s="7"/>
      <c r="EX31" s="7"/>
      <c r="EY31" s="7"/>
      <c r="EZ31" s="7"/>
      <c r="FA31" s="7"/>
      <c r="FB31" s="7"/>
      <c r="FC31" s="7"/>
      <c r="FD31" s="7"/>
      <c r="FE31" s="7"/>
      <c r="FF31" s="7"/>
      <c r="FG31" s="7"/>
      <c r="FH31" s="7"/>
      <c r="FI31" s="7"/>
      <c r="FJ31" s="7"/>
      <c r="FK31" s="7"/>
      <c r="FL31" s="7"/>
      <c r="FM31" s="7"/>
      <c r="FN31" s="7"/>
      <c r="FO31" s="7"/>
      <c r="FP31" s="7"/>
      <c r="FQ31" s="7"/>
      <c r="FR31" s="7"/>
      <c r="FS31" s="7"/>
      <c r="FT31" s="7"/>
      <c r="FU31" s="7"/>
      <c r="FV31" s="7"/>
      <c r="FW31" s="7"/>
      <c r="FX31" s="7"/>
      <c r="FY31" s="7"/>
      <c r="FZ31" s="7"/>
      <c r="GA31" s="7"/>
      <c r="GB31" s="7"/>
      <c r="GC31" s="7"/>
      <c r="GD31" s="7"/>
      <c r="GE31" s="7"/>
      <c r="GF31" s="7"/>
      <c r="GG31" s="7"/>
      <c r="GH31" s="7"/>
      <c r="GI31" s="7"/>
      <c r="GJ31" s="7"/>
      <c r="GK31" s="7"/>
      <c r="GL31" s="7"/>
      <c r="GM31" s="7"/>
      <c r="GN31" s="7"/>
      <c r="GO31" s="7"/>
      <c r="GP31" s="7"/>
      <c r="GQ31" s="7"/>
      <c r="GR31" s="7"/>
      <c r="GS31" s="7"/>
      <c r="GT31" s="7"/>
      <c r="GU31" s="7"/>
      <c r="GV31" s="7"/>
      <c r="GW31" s="7"/>
      <c r="GX31" s="7"/>
      <c r="GY31" s="7"/>
      <c r="GZ31" s="7"/>
      <c r="HA31" s="7"/>
      <c r="HB31" s="7"/>
      <c r="HC31" s="7"/>
      <c r="HD31" s="7"/>
      <c r="HE31" s="7"/>
      <c r="HF31" s="7"/>
      <c r="HG31" s="7"/>
      <c r="HH31" s="7"/>
      <c r="HI31" s="7"/>
      <c r="HJ31" s="7"/>
      <c r="HK31" s="7"/>
      <c r="HL31" s="7"/>
      <c r="HM31" s="7"/>
      <c r="HN31" s="7"/>
      <c r="HO31" s="7"/>
      <c r="HP31" s="7"/>
      <c r="HQ31" s="7"/>
      <c r="HR31" s="7"/>
      <c r="HS31" s="7"/>
      <c r="HT31" s="7"/>
      <c r="HU31" s="7"/>
      <c r="HV31" s="7"/>
      <c r="HW31" s="7"/>
      <c r="HX31" s="7"/>
      <c r="HY31" s="7"/>
      <c r="HZ31" s="7"/>
      <c r="IA31" s="7"/>
      <c r="IB31" s="7"/>
      <c r="IC31" s="7"/>
      <c r="ID31" s="7"/>
      <c r="IE31" s="7"/>
      <c r="IF31" s="7"/>
      <c r="IG31" s="7"/>
      <c r="IH31" s="7"/>
      <c r="II31" s="7"/>
      <c r="IJ31" s="7"/>
      <c r="IK31" s="7"/>
      <c r="IL31" s="7"/>
      <c r="IM31" s="7"/>
      <c r="IN31" s="7"/>
      <c r="IO31" s="7"/>
      <c r="IP31" s="7"/>
      <c r="IQ31" s="7"/>
      <c r="IR31" s="7"/>
      <c r="IS31" s="7"/>
      <c r="IT31" s="7"/>
      <c r="IU31" s="7"/>
      <c r="IV31" s="7"/>
      <c r="IW31" s="7"/>
      <c r="IX31" s="7"/>
      <c r="IY31" s="7"/>
      <c r="IZ31" s="7"/>
      <c r="JA31" s="7"/>
      <c r="JB31" s="7"/>
      <c r="JC31" s="7"/>
      <c r="JD31" s="7"/>
      <c r="JE31" s="7"/>
      <c r="JF31" s="7"/>
      <c r="JG31" s="7"/>
      <c r="JH31" s="7"/>
      <c r="JI31" s="7"/>
      <c r="JJ31" s="7"/>
      <c r="JK31" s="7"/>
      <c r="JL31" s="7"/>
      <c r="JM31" s="7"/>
      <c r="JN31" s="7"/>
      <c r="JO31" s="7"/>
      <c r="JP31" s="7"/>
      <c r="JQ31" s="7"/>
      <c r="JR31" s="7"/>
      <c r="JS31" s="7"/>
      <c r="JT31" s="7"/>
      <c r="JU31" s="7"/>
      <c r="JV31" s="7"/>
      <c r="JW31" s="7"/>
      <c r="JX31" s="7"/>
      <c r="JY31" s="7"/>
      <c r="JZ31" s="7"/>
      <c r="KA31" s="7"/>
      <c r="KB31" s="7"/>
      <c r="KC31" s="7"/>
      <c r="KD31" s="7"/>
      <c r="KE31" s="7"/>
      <c r="KF31" s="7"/>
      <c r="KG31" s="7"/>
      <c r="KH31" s="7"/>
      <c r="KI31" s="7"/>
      <c r="KJ31" s="7"/>
      <c r="KK31" s="7"/>
      <c r="KL31" s="7"/>
      <c r="KM31" s="7"/>
      <c r="KN31" s="7"/>
      <c r="KO31" s="7"/>
      <c r="KP31" s="7"/>
      <c r="KQ31" s="7"/>
      <c r="KR31" s="7"/>
      <c r="KS31" s="7"/>
      <c r="KT31" s="7"/>
      <c r="KU31" s="7"/>
      <c r="KV31" s="7"/>
      <c r="KW31" s="7"/>
      <c r="KX31" s="7"/>
      <c r="KY31" s="7"/>
      <c r="KZ31" s="7"/>
      <c r="LA31" s="7"/>
      <c r="LB31" s="7"/>
      <c r="LC31" s="7"/>
      <c r="LD31" s="7"/>
      <c r="LE31" s="7"/>
      <c r="LF31" s="7"/>
      <c r="LG31" s="7"/>
      <c r="LH31" s="7"/>
      <c r="LI31" s="7"/>
      <c r="LJ31" s="7"/>
      <c r="LK31" s="7"/>
      <c r="LL31" s="7"/>
      <c r="LM31" s="7"/>
      <c r="LN31" s="7"/>
      <c r="LO31" s="7"/>
      <c r="LP31" s="7"/>
      <c r="LQ31" s="7"/>
      <c r="LR31" s="7"/>
      <c r="LS31" s="7"/>
      <c r="LT31" s="7"/>
      <c r="LU31" s="7"/>
      <c r="LV31" s="7"/>
      <c r="LW31" s="7"/>
      <c r="LX31" s="7"/>
      <c r="LY31" s="7"/>
    </row>
    <row r="32" spans="12:337" s="6" customFormat="1" x14ac:dyDescent="0.25">
      <c r="AC32" s="7"/>
      <c r="AD32" s="7"/>
      <c r="AE32" s="7"/>
      <c r="AF32" s="7"/>
      <c r="AG32" s="7"/>
      <c r="AH32" s="7"/>
      <c r="AI32" s="7"/>
      <c r="AJ32" s="7"/>
      <c r="AK32" s="7"/>
      <c r="AL32" s="7"/>
      <c r="AM32" s="7"/>
      <c r="AN32" s="7"/>
      <c r="AO32" s="7"/>
      <c r="AP32" s="7"/>
      <c r="AQ32" s="7"/>
      <c r="AR32" s="7"/>
      <c r="AS32" s="7"/>
      <c r="AT32" s="7"/>
      <c r="AU32" s="7"/>
      <c r="AV32" s="7"/>
      <c r="AW32" s="7"/>
      <c r="AX32" s="7"/>
      <c r="AY32" s="7"/>
      <c r="AZ32" s="7"/>
      <c r="BA32" s="7"/>
      <c r="BB32" s="7"/>
      <c r="BC32" s="7"/>
      <c r="BD32" s="7"/>
      <c r="BE32" s="7"/>
      <c r="BF32" s="7"/>
      <c r="BG32" s="7"/>
      <c r="BH32" s="7"/>
      <c r="BI32" s="7"/>
      <c r="BJ32" s="7"/>
      <c r="BK32" s="7"/>
      <c r="BL32" s="7"/>
      <c r="BM32" s="7"/>
      <c r="BN32" s="7"/>
      <c r="BO32" s="7"/>
      <c r="BP32" s="7"/>
      <c r="BQ32" s="7"/>
      <c r="BR32" s="7"/>
      <c r="BS32" s="7"/>
      <c r="BT32" s="7"/>
      <c r="BU32" s="7"/>
      <c r="BV32" s="7"/>
      <c r="BW32" s="7"/>
      <c r="BX32" s="7"/>
      <c r="BY32" s="7"/>
      <c r="BZ32" s="7"/>
      <c r="CA32" s="7"/>
      <c r="CB32" s="7"/>
      <c r="CC32" s="7"/>
      <c r="CD32" s="7"/>
      <c r="CE32" s="7"/>
      <c r="CF32" s="7"/>
      <c r="CG32" s="7"/>
      <c r="CH32" s="7"/>
      <c r="CI32" s="7"/>
      <c r="CJ32" s="7"/>
      <c r="CK32" s="7"/>
      <c r="CL32" s="7"/>
      <c r="CM32" s="7"/>
      <c r="CN32" s="7"/>
      <c r="CO32" s="7"/>
      <c r="CP32" s="7"/>
      <c r="CQ32" s="7"/>
      <c r="CR32" s="7"/>
      <c r="CS32" s="7"/>
      <c r="CT32" s="7"/>
      <c r="CU32" s="7"/>
      <c r="CV32" s="7"/>
      <c r="CW32" s="7"/>
      <c r="CX32" s="7"/>
      <c r="CY32" s="7"/>
      <c r="CZ32" s="7"/>
      <c r="DA32" s="7"/>
      <c r="DB32" s="7"/>
      <c r="DC32" s="7"/>
      <c r="DD32" s="7"/>
      <c r="DE32" s="7"/>
      <c r="DF32" s="7"/>
      <c r="DG32" s="7"/>
      <c r="DH32" s="7"/>
      <c r="DI32" s="7"/>
      <c r="DJ32" s="7"/>
      <c r="DK32" s="7"/>
      <c r="DL32" s="7"/>
      <c r="DM32" s="7"/>
      <c r="DN32" s="7"/>
      <c r="DO32" s="7"/>
      <c r="DP32" s="7"/>
      <c r="DQ32" s="7"/>
      <c r="DR32" s="7"/>
      <c r="DS32" s="7"/>
      <c r="DT32" s="7"/>
      <c r="DU32" s="7"/>
      <c r="DV32" s="7"/>
      <c r="DW32" s="7"/>
      <c r="DX32" s="7"/>
      <c r="DY32" s="7"/>
      <c r="DZ32" s="7"/>
      <c r="EA32" s="7"/>
      <c r="EB32" s="7"/>
      <c r="EC32" s="7"/>
      <c r="ED32" s="7"/>
      <c r="EE32" s="7"/>
      <c r="EF32" s="7"/>
      <c r="EG32" s="7"/>
      <c r="EH32" s="7"/>
      <c r="EI32" s="7"/>
      <c r="EJ32" s="7"/>
      <c r="EK32" s="7"/>
      <c r="EL32" s="7"/>
      <c r="EM32" s="7"/>
      <c r="EN32" s="7"/>
      <c r="EO32" s="7"/>
      <c r="EP32" s="7"/>
      <c r="EQ32" s="7"/>
      <c r="ER32" s="7"/>
      <c r="ES32" s="7"/>
      <c r="ET32" s="7"/>
      <c r="EU32" s="7"/>
      <c r="EV32" s="7"/>
      <c r="EW32" s="7"/>
      <c r="EX32" s="7"/>
      <c r="EY32" s="7"/>
      <c r="EZ32" s="7"/>
      <c r="FA32" s="7"/>
      <c r="FB32" s="7"/>
      <c r="FC32" s="7"/>
      <c r="FD32" s="7"/>
      <c r="FE32" s="7"/>
      <c r="FF32" s="7"/>
      <c r="FG32" s="7"/>
      <c r="FH32" s="7"/>
      <c r="FI32" s="7"/>
      <c r="FJ32" s="7"/>
      <c r="FK32" s="7"/>
      <c r="FL32" s="7"/>
      <c r="FM32" s="7"/>
      <c r="FN32" s="7"/>
      <c r="FO32" s="7"/>
      <c r="FP32" s="7"/>
      <c r="FQ32" s="7"/>
      <c r="FR32" s="7"/>
      <c r="FS32" s="7"/>
      <c r="FT32" s="7"/>
      <c r="FU32" s="7"/>
      <c r="FV32" s="7"/>
      <c r="FW32" s="7"/>
      <c r="FX32" s="7"/>
      <c r="FY32" s="7"/>
      <c r="FZ32" s="7"/>
      <c r="GA32" s="7"/>
      <c r="GB32" s="7"/>
      <c r="GC32" s="7"/>
      <c r="GD32" s="7"/>
      <c r="GE32" s="7"/>
      <c r="GF32" s="7"/>
      <c r="GG32" s="7"/>
      <c r="GH32" s="7"/>
      <c r="GI32" s="7"/>
      <c r="GJ32" s="7"/>
      <c r="GK32" s="7"/>
      <c r="GL32" s="7"/>
      <c r="GM32" s="7"/>
      <c r="GN32" s="7"/>
      <c r="GO32" s="7"/>
      <c r="GP32" s="7"/>
      <c r="GQ32" s="7"/>
      <c r="GR32" s="7"/>
      <c r="GS32" s="7"/>
      <c r="GT32" s="7"/>
      <c r="GU32" s="7"/>
      <c r="GV32" s="7"/>
      <c r="GW32" s="7"/>
      <c r="GX32" s="7"/>
      <c r="GY32" s="7"/>
      <c r="GZ32" s="7"/>
      <c r="HA32" s="7"/>
      <c r="HB32" s="7"/>
      <c r="HC32" s="7"/>
      <c r="HD32" s="7"/>
      <c r="HE32" s="7"/>
      <c r="HF32" s="7"/>
      <c r="HG32" s="7"/>
      <c r="HH32" s="7"/>
      <c r="HI32" s="7"/>
      <c r="HJ32" s="7"/>
      <c r="HK32" s="7"/>
      <c r="HL32" s="7"/>
      <c r="HM32" s="7"/>
      <c r="HN32" s="7"/>
      <c r="HO32" s="7"/>
      <c r="HP32" s="7"/>
      <c r="HQ32" s="7"/>
      <c r="HR32" s="7"/>
      <c r="HS32" s="7"/>
      <c r="HT32" s="7"/>
      <c r="HU32" s="7"/>
      <c r="HV32" s="7"/>
      <c r="HW32" s="7"/>
      <c r="HX32" s="7"/>
      <c r="HY32" s="7"/>
      <c r="HZ32" s="7"/>
      <c r="IA32" s="7"/>
      <c r="IB32" s="7"/>
      <c r="IC32" s="7"/>
      <c r="ID32" s="7"/>
      <c r="IE32" s="7"/>
      <c r="IF32" s="7"/>
      <c r="IG32" s="7"/>
      <c r="IH32" s="7"/>
      <c r="II32" s="7"/>
      <c r="IJ32" s="7"/>
      <c r="IK32" s="7"/>
      <c r="IL32" s="7"/>
      <c r="IM32" s="7"/>
      <c r="IN32" s="7"/>
      <c r="IO32" s="7"/>
      <c r="IP32" s="7"/>
      <c r="IQ32" s="7"/>
      <c r="IR32" s="7"/>
      <c r="IS32" s="7"/>
      <c r="IT32" s="7"/>
      <c r="IU32" s="7"/>
      <c r="IV32" s="7"/>
      <c r="IW32" s="7"/>
      <c r="IX32" s="7"/>
      <c r="IY32" s="7"/>
      <c r="IZ32" s="7"/>
      <c r="JA32" s="7"/>
      <c r="JB32" s="7"/>
      <c r="JC32" s="7"/>
      <c r="JD32" s="7"/>
      <c r="JE32" s="7"/>
      <c r="JF32" s="7"/>
      <c r="JG32" s="7"/>
      <c r="JH32" s="7"/>
      <c r="JI32" s="7"/>
      <c r="JJ32" s="7"/>
      <c r="JK32" s="7"/>
      <c r="JL32" s="7"/>
      <c r="JM32" s="7"/>
      <c r="JN32" s="7"/>
      <c r="JO32" s="7"/>
      <c r="JP32" s="7"/>
      <c r="JQ32" s="7"/>
      <c r="JR32" s="7"/>
      <c r="JS32" s="7"/>
      <c r="JT32" s="7"/>
      <c r="JU32" s="7"/>
      <c r="JV32" s="7"/>
      <c r="JW32" s="7"/>
      <c r="JX32" s="7"/>
      <c r="JY32" s="7"/>
      <c r="JZ32" s="7"/>
      <c r="KA32" s="7"/>
      <c r="KB32" s="7"/>
      <c r="KC32" s="7"/>
      <c r="KD32" s="7"/>
      <c r="KE32" s="7"/>
      <c r="KF32" s="7"/>
      <c r="KG32" s="7"/>
      <c r="KH32" s="7"/>
      <c r="KI32" s="7"/>
      <c r="KJ32" s="7"/>
      <c r="KK32" s="7"/>
      <c r="KL32" s="7"/>
      <c r="KM32" s="7"/>
      <c r="KN32" s="7"/>
      <c r="KO32" s="7"/>
      <c r="KP32" s="7"/>
      <c r="KQ32" s="7"/>
      <c r="KR32" s="7"/>
      <c r="KS32" s="7"/>
      <c r="KT32" s="7"/>
      <c r="KU32" s="7"/>
      <c r="KV32" s="7"/>
      <c r="KW32" s="7"/>
      <c r="KX32" s="7"/>
      <c r="KY32" s="7"/>
      <c r="KZ32" s="7"/>
      <c r="LA32" s="7"/>
      <c r="LB32" s="7"/>
      <c r="LC32" s="7"/>
      <c r="LD32" s="7"/>
      <c r="LE32" s="7"/>
      <c r="LF32" s="7"/>
      <c r="LG32" s="7"/>
      <c r="LH32" s="7"/>
      <c r="LI32" s="7"/>
      <c r="LJ32" s="7"/>
      <c r="LK32" s="7"/>
      <c r="LL32" s="7"/>
      <c r="LM32" s="7"/>
      <c r="LN32" s="7"/>
      <c r="LO32" s="7"/>
      <c r="LP32" s="7"/>
      <c r="LQ32" s="7"/>
      <c r="LR32" s="7"/>
      <c r="LS32" s="7"/>
      <c r="LT32" s="7"/>
      <c r="LU32" s="7"/>
      <c r="LV32" s="7"/>
      <c r="LW32" s="7"/>
      <c r="LX32" s="7"/>
      <c r="LY32" s="7"/>
    </row>
    <row r="33" spans="29:337" s="6" customFormat="1" x14ac:dyDescent="0.25">
      <c r="AC33" s="7"/>
      <c r="AD33" s="7"/>
      <c r="AE33" s="7"/>
      <c r="AF33" s="7"/>
      <c r="AG33" s="7"/>
      <c r="AH33" s="7"/>
      <c r="AI33" s="7"/>
      <c r="AJ33" s="7"/>
      <c r="AK33" s="7"/>
      <c r="AL33" s="7"/>
      <c r="AM33" s="7"/>
      <c r="AN33" s="7"/>
      <c r="AO33" s="7"/>
      <c r="AP33" s="7"/>
      <c r="AQ33" s="7"/>
      <c r="AR33" s="7"/>
      <c r="AS33" s="7"/>
      <c r="AT33" s="7"/>
      <c r="AU33" s="7"/>
      <c r="AV33" s="7"/>
      <c r="AW33" s="7"/>
      <c r="AX33" s="7"/>
      <c r="AY33" s="7"/>
      <c r="AZ33" s="7"/>
      <c r="BA33" s="7"/>
      <c r="BB33" s="7"/>
      <c r="BC33" s="7"/>
      <c r="BD33" s="7"/>
      <c r="BE33" s="7"/>
      <c r="BF33" s="7"/>
      <c r="BG33" s="7"/>
      <c r="BH33" s="7"/>
      <c r="BI33" s="7"/>
      <c r="BJ33" s="7"/>
      <c r="BK33" s="7"/>
      <c r="BL33" s="7"/>
      <c r="BM33" s="7"/>
      <c r="BN33" s="7"/>
      <c r="BO33" s="7"/>
      <c r="BP33" s="7"/>
      <c r="BQ33" s="7"/>
      <c r="BR33" s="7"/>
      <c r="BS33" s="7"/>
      <c r="BT33" s="7"/>
      <c r="BU33" s="7"/>
      <c r="BV33" s="7"/>
      <c r="BW33" s="7"/>
      <c r="BX33" s="7"/>
      <c r="BY33" s="7"/>
      <c r="BZ33" s="7"/>
      <c r="CA33" s="7"/>
      <c r="CB33" s="7"/>
      <c r="CC33" s="7"/>
      <c r="CD33" s="7"/>
      <c r="CE33" s="7"/>
      <c r="CF33" s="7"/>
      <c r="CG33" s="7"/>
      <c r="CH33" s="7"/>
      <c r="CI33" s="7"/>
      <c r="CJ33" s="7"/>
      <c r="CK33" s="7"/>
      <c r="CL33" s="7"/>
      <c r="CM33" s="7"/>
      <c r="CN33" s="7"/>
      <c r="CO33" s="7"/>
      <c r="CP33" s="7"/>
      <c r="CQ33" s="7"/>
      <c r="CR33" s="7"/>
      <c r="CS33" s="7"/>
      <c r="CT33" s="7"/>
      <c r="CU33" s="7"/>
      <c r="CV33" s="7"/>
      <c r="CW33" s="7"/>
      <c r="CX33" s="7"/>
      <c r="CY33" s="7"/>
      <c r="CZ33" s="7"/>
      <c r="DA33" s="7"/>
      <c r="DB33" s="7"/>
      <c r="DC33" s="7"/>
      <c r="DD33" s="7"/>
      <c r="DE33" s="7"/>
      <c r="DF33" s="7"/>
      <c r="DG33" s="7"/>
      <c r="DH33" s="7"/>
      <c r="DI33" s="7"/>
      <c r="DJ33" s="7"/>
      <c r="DK33" s="7"/>
      <c r="DL33" s="7"/>
      <c r="DM33" s="7"/>
      <c r="DN33" s="7"/>
      <c r="DO33" s="7"/>
      <c r="DP33" s="7"/>
      <c r="DQ33" s="7"/>
      <c r="DR33" s="7"/>
      <c r="DS33" s="7"/>
      <c r="DT33" s="7"/>
      <c r="DU33" s="7"/>
      <c r="DV33" s="7"/>
      <c r="DW33" s="7"/>
      <c r="DX33" s="7"/>
      <c r="DY33" s="7"/>
      <c r="DZ33" s="7"/>
      <c r="EA33" s="7"/>
      <c r="EB33" s="7"/>
      <c r="EC33" s="7"/>
      <c r="ED33" s="7"/>
      <c r="EE33" s="7"/>
      <c r="EF33" s="7"/>
      <c r="EG33" s="7"/>
      <c r="EH33" s="7"/>
      <c r="EI33" s="7"/>
      <c r="EJ33" s="7"/>
      <c r="EK33" s="7"/>
      <c r="EL33" s="7"/>
      <c r="EM33" s="7"/>
      <c r="EN33" s="7"/>
      <c r="EO33" s="7"/>
      <c r="EP33" s="7"/>
      <c r="EQ33" s="7"/>
      <c r="ER33" s="7"/>
      <c r="ES33" s="7"/>
      <c r="ET33" s="7"/>
      <c r="EU33" s="7"/>
      <c r="EV33" s="7"/>
      <c r="EW33" s="7"/>
      <c r="EX33" s="7"/>
      <c r="EY33" s="7"/>
      <c r="EZ33" s="7"/>
      <c r="FA33" s="7"/>
      <c r="FB33" s="7"/>
      <c r="FC33" s="7"/>
      <c r="FD33" s="7"/>
      <c r="FE33" s="7"/>
      <c r="FF33" s="7"/>
      <c r="FG33" s="7"/>
      <c r="FH33" s="7"/>
      <c r="FI33" s="7"/>
      <c r="FJ33" s="7"/>
      <c r="FK33" s="7"/>
      <c r="FL33" s="7"/>
      <c r="FM33" s="7"/>
      <c r="FN33" s="7"/>
      <c r="FO33" s="7"/>
      <c r="FP33" s="7"/>
      <c r="FQ33" s="7"/>
      <c r="FR33" s="7"/>
      <c r="FS33" s="7"/>
      <c r="FT33" s="7"/>
      <c r="FU33" s="7"/>
      <c r="FV33" s="7"/>
      <c r="FW33" s="7"/>
      <c r="FX33" s="7"/>
      <c r="FY33" s="7"/>
      <c r="FZ33" s="7"/>
      <c r="GA33" s="7"/>
      <c r="GB33" s="7"/>
      <c r="GC33" s="7"/>
      <c r="GD33" s="7"/>
      <c r="GE33" s="7"/>
      <c r="GF33" s="7"/>
      <c r="GG33" s="7"/>
      <c r="GH33" s="7"/>
      <c r="GI33" s="7"/>
      <c r="GJ33" s="7"/>
      <c r="GK33" s="7"/>
      <c r="GL33" s="7"/>
      <c r="GM33" s="7"/>
      <c r="GN33" s="7"/>
      <c r="GO33" s="7"/>
      <c r="GP33" s="7"/>
      <c r="GQ33" s="7"/>
      <c r="GR33" s="7"/>
      <c r="GS33" s="7"/>
      <c r="GT33" s="7"/>
      <c r="GU33" s="7"/>
      <c r="GV33" s="7"/>
      <c r="GW33" s="7"/>
      <c r="GX33" s="7"/>
      <c r="GY33" s="7"/>
      <c r="GZ33" s="7"/>
      <c r="HA33" s="7"/>
      <c r="HB33" s="7"/>
      <c r="HC33" s="7"/>
      <c r="HD33" s="7"/>
      <c r="HE33" s="7"/>
      <c r="HF33" s="7"/>
      <c r="HG33" s="7"/>
      <c r="HH33" s="7"/>
      <c r="HI33" s="7"/>
      <c r="HJ33" s="7"/>
      <c r="HK33" s="7"/>
      <c r="HL33" s="7"/>
      <c r="HM33" s="7"/>
      <c r="HN33" s="7"/>
      <c r="HO33" s="7"/>
      <c r="HP33" s="7"/>
      <c r="HQ33" s="7"/>
      <c r="HR33" s="7"/>
      <c r="HS33" s="7"/>
      <c r="HT33" s="7"/>
      <c r="HU33" s="7"/>
      <c r="HV33" s="7"/>
      <c r="HW33" s="7"/>
      <c r="HX33" s="7"/>
      <c r="HY33" s="7"/>
      <c r="HZ33" s="7"/>
      <c r="IA33" s="7"/>
      <c r="IB33" s="7"/>
      <c r="IC33" s="7"/>
      <c r="ID33" s="7"/>
      <c r="IE33" s="7"/>
      <c r="IF33" s="7"/>
      <c r="IG33" s="7"/>
      <c r="IH33" s="7"/>
      <c r="II33" s="7"/>
      <c r="IJ33" s="7"/>
      <c r="IK33" s="7"/>
      <c r="IL33" s="7"/>
      <c r="IM33" s="7"/>
      <c r="IN33" s="7"/>
      <c r="IO33" s="7"/>
      <c r="IP33" s="7"/>
      <c r="IQ33" s="7"/>
      <c r="IR33" s="7"/>
      <c r="IS33" s="7"/>
      <c r="IT33" s="7"/>
      <c r="IU33" s="7"/>
      <c r="IV33" s="7"/>
      <c r="IW33" s="7"/>
      <c r="IX33" s="7"/>
      <c r="IY33" s="7"/>
      <c r="IZ33" s="7"/>
      <c r="JA33" s="7"/>
      <c r="JB33" s="7"/>
      <c r="JC33" s="7"/>
      <c r="JD33" s="7"/>
      <c r="JE33" s="7"/>
      <c r="JF33" s="7"/>
      <c r="JG33" s="7"/>
      <c r="JH33" s="7"/>
      <c r="JI33" s="7"/>
      <c r="JJ33" s="7"/>
      <c r="JK33" s="7"/>
      <c r="JL33" s="7"/>
      <c r="JM33" s="7"/>
      <c r="JN33" s="7"/>
      <c r="JO33" s="7"/>
      <c r="JP33" s="7"/>
      <c r="JQ33" s="7"/>
      <c r="JR33" s="7"/>
      <c r="JS33" s="7"/>
      <c r="JT33" s="7"/>
      <c r="JU33" s="7"/>
      <c r="JV33" s="7"/>
      <c r="JW33" s="7"/>
      <c r="JX33" s="7"/>
      <c r="JY33" s="7"/>
      <c r="JZ33" s="7"/>
      <c r="KA33" s="7"/>
      <c r="KB33" s="7"/>
      <c r="KC33" s="7"/>
      <c r="KD33" s="7"/>
      <c r="KE33" s="7"/>
      <c r="KF33" s="7"/>
      <c r="KG33" s="7"/>
      <c r="KH33" s="7"/>
      <c r="KI33" s="7"/>
      <c r="KJ33" s="7"/>
      <c r="KK33" s="7"/>
      <c r="KL33" s="7"/>
      <c r="KM33" s="7"/>
      <c r="KN33" s="7"/>
      <c r="KO33" s="7"/>
      <c r="KP33" s="7"/>
      <c r="KQ33" s="7"/>
      <c r="KR33" s="7"/>
      <c r="KS33" s="7"/>
      <c r="KT33" s="7"/>
      <c r="KU33" s="7"/>
      <c r="KV33" s="7"/>
      <c r="KW33" s="7"/>
      <c r="KX33" s="7"/>
      <c r="KY33" s="7"/>
      <c r="KZ33" s="7"/>
      <c r="LA33" s="7"/>
      <c r="LB33" s="7"/>
      <c r="LC33" s="7"/>
      <c r="LD33" s="7"/>
      <c r="LE33" s="7"/>
      <c r="LF33" s="7"/>
      <c r="LG33" s="7"/>
      <c r="LH33" s="7"/>
      <c r="LI33" s="7"/>
      <c r="LJ33" s="7"/>
      <c r="LK33" s="7"/>
      <c r="LL33" s="7"/>
      <c r="LM33" s="7"/>
      <c r="LN33" s="7"/>
      <c r="LO33" s="7"/>
      <c r="LP33" s="7"/>
      <c r="LQ33" s="7"/>
      <c r="LR33" s="7"/>
      <c r="LS33" s="7"/>
      <c r="LT33" s="7"/>
      <c r="LU33" s="7"/>
      <c r="LV33" s="7"/>
      <c r="LW33" s="7"/>
      <c r="LX33" s="7"/>
      <c r="LY33" s="7"/>
    </row>
    <row r="34" spans="29:337" s="6" customFormat="1" x14ac:dyDescent="0.25">
      <c r="AC34" s="7"/>
      <c r="AD34" s="7"/>
      <c r="AE34" s="7"/>
      <c r="AF34" s="7"/>
      <c r="AG34" s="7"/>
      <c r="AH34" s="7"/>
      <c r="AI34" s="7"/>
      <c r="AJ34" s="7"/>
      <c r="AK34" s="7"/>
      <c r="AL34" s="7"/>
      <c r="AM34" s="7"/>
      <c r="AN34" s="7"/>
      <c r="AO34" s="7"/>
      <c r="AP34" s="7"/>
      <c r="AQ34" s="7"/>
      <c r="AR34" s="7"/>
      <c r="AS34" s="7"/>
      <c r="AT34" s="7"/>
      <c r="AU34" s="7"/>
      <c r="AV34" s="7"/>
      <c r="AW34" s="7"/>
      <c r="AX34" s="7"/>
      <c r="AY34" s="7"/>
      <c r="AZ34" s="7"/>
      <c r="BA34" s="7"/>
      <c r="BB34" s="7"/>
      <c r="BC34" s="7"/>
      <c r="BD34" s="7"/>
      <c r="BE34" s="7"/>
      <c r="BF34" s="7"/>
      <c r="BG34" s="7"/>
      <c r="BH34" s="7"/>
      <c r="BI34" s="7"/>
      <c r="BJ34" s="7"/>
      <c r="BK34" s="7"/>
      <c r="BL34" s="7"/>
      <c r="BM34" s="7"/>
      <c r="BN34" s="7"/>
      <c r="BO34" s="7"/>
      <c r="BP34" s="7"/>
      <c r="BQ34" s="7"/>
      <c r="BR34" s="7"/>
      <c r="BS34" s="7"/>
      <c r="BT34" s="7"/>
      <c r="BU34" s="7"/>
      <c r="BV34" s="7"/>
      <c r="BW34" s="7"/>
      <c r="BX34" s="7"/>
      <c r="BY34" s="7"/>
      <c r="BZ34" s="7"/>
      <c r="CA34" s="7"/>
      <c r="CB34" s="7"/>
      <c r="CC34" s="7"/>
      <c r="CD34" s="7"/>
      <c r="CE34" s="7"/>
      <c r="CF34" s="7"/>
      <c r="CG34" s="7"/>
      <c r="CH34" s="7"/>
      <c r="CI34" s="7"/>
      <c r="CJ34" s="7"/>
      <c r="CK34" s="7"/>
      <c r="CL34" s="7"/>
      <c r="CM34" s="7"/>
      <c r="CN34" s="7"/>
      <c r="CO34" s="7"/>
      <c r="CP34" s="7"/>
      <c r="CQ34" s="7"/>
      <c r="CR34" s="7"/>
      <c r="CS34" s="7"/>
      <c r="CT34" s="7"/>
      <c r="CU34" s="7"/>
      <c r="CV34" s="7"/>
      <c r="CW34" s="7"/>
      <c r="CX34" s="7"/>
      <c r="CY34" s="7"/>
      <c r="CZ34" s="7"/>
      <c r="DA34" s="7"/>
      <c r="DB34" s="7"/>
      <c r="DC34" s="7"/>
      <c r="DD34" s="7"/>
      <c r="DE34" s="7"/>
      <c r="DF34" s="7"/>
      <c r="DG34" s="7"/>
      <c r="DH34" s="7"/>
      <c r="DI34" s="7"/>
      <c r="DJ34" s="7"/>
      <c r="DK34" s="7"/>
      <c r="DL34" s="7"/>
      <c r="DM34" s="7"/>
      <c r="DN34" s="7"/>
      <c r="DO34" s="7"/>
      <c r="DP34" s="7"/>
      <c r="DQ34" s="7"/>
      <c r="DR34" s="7"/>
      <c r="DS34" s="7"/>
      <c r="DT34" s="7"/>
      <c r="DU34" s="7"/>
      <c r="DV34" s="7"/>
      <c r="DW34" s="7"/>
      <c r="DX34" s="7"/>
      <c r="DY34" s="7"/>
      <c r="DZ34" s="7"/>
      <c r="EA34" s="7"/>
      <c r="EB34" s="7"/>
      <c r="EC34" s="7"/>
      <c r="ED34" s="7"/>
      <c r="EE34" s="7"/>
      <c r="EF34" s="7"/>
      <c r="EG34" s="7"/>
      <c r="EH34" s="7"/>
      <c r="EI34" s="7"/>
      <c r="EJ34" s="7"/>
      <c r="EK34" s="7"/>
      <c r="EL34" s="7"/>
      <c r="EM34" s="7"/>
      <c r="EN34" s="7"/>
      <c r="EO34" s="7"/>
      <c r="EP34" s="7"/>
      <c r="EQ34" s="7"/>
      <c r="ER34" s="7"/>
      <c r="ES34" s="7"/>
      <c r="ET34" s="7"/>
      <c r="EU34" s="7"/>
      <c r="EV34" s="7"/>
      <c r="EW34" s="7"/>
      <c r="EX34" s="7"/>
      <c r="EY34" s="7"/>
      <c r="EZ34" s="7"/>
      <c r="FA34" s="7"/>
      <c r="FB34" s="7"/>
      <c r="FC34" s="7"/>
      <c r="FD34" s="7"/>
      <c r="FE34" s="7"/>
      <c r="FF34" s="7"/>
      <c r="FG34" s="7"/>
      <c r="FH34" s="7"/>
      <c r="FI34" s="7"/>
      <c r="FJ34" s="7"/>
      <c r="FK34" s="7"/>
      <c r="FL34" s="7"/>
      <c r="FM34" s="7"/>
      <c r="FN34" s="7"/>
      <c r="FO34" s="7"/>
      <c r="FP34" s="7"/>
      <c r="FQ34" s="7"/>
      <c r="FR34" s="7"/>
      <c r="FS34" s="7"/>
      <c r="FT34" s="7"/>
      <c r="FU34" s="7"/>
      <c r="FV34" s="7"/>
      <c r="FW34" s="7"/>
      <c r="FX34" s="7"/>
      <c r="FY34" s="7"/>
      <c r="FZ34" s="7"/>
      <c r="GA34" s="7"/>
      <c r="GB34" s="7"/>
      <c r="GC34" s="7"/>
      <c r="GD34" s="7"/>
      <c r="GE34" s="7"/>
      <c r="GF34" s="7"/>
      <c r="GG34" s="7"/>
      <c r="GH34" s="7"/>
      <c r="GI34" s="7"/>
      <c r="GJ34" s="7"/>
      <c r="GK34" s="7"/>
      <c r="GL34" s="7"/>
      <c r="GM34" s="7"/>
      <c r="GN34" s="7"/>
      <c r="GO34" s="7"/>
      <c r="GP34" s="7"/>
      <c r="GQ34" s="7"/>
      <c r="GR34" s="7"/>
      <c r="GS34" s="7"/>
      <c r="GT34" s="7"/>
      <c r="GU34" s="7"/>
      <c r="GV34" s="7"/>
      <c r="GW34" s="7"/>
      <c r="GX34" s="7"/>
      <c r="GY34" s="7"/>
      <c r="GZ34" s="7"/>
      <c r="HA34" s="7"/>
      <c r="HB34" s="7"/>
      <c r="HC34" s="7"/>
      <c r="HD34" s="7"/>
      <c r="HE34" s="7"/>
      <c r="HF34" s="7"/>
      <c r="HG34" s="7"/>
      <c r="HH34" s="7"/>
      <c r="HI34" s="7"/>
      <c r="HJ34" s="7"/>
      <c r="HK34" s="7"/>
      <c r="HL34" s="7"/>
      <c r="HM34" s="7"/>
      <c r="HN34" s="7"/>
      <c r="HO34" s="7"/>
      <c r="HP34" s="7"/>
      <c r="HQ34" s="7"/>
      <c r="HR34" s="7"/>
      <c r="HS34" s="7"/>
      <c r="HT34" s="7"/>
      <c r="HU34" s="7"/>
      <c r="HV34" s="7"/>
      <c r="HW34" s="7"/>
      <c r="HX34" s="7"/>
      <c r="HY34" s="7"/>
      <c r="HZ34" s="7"/>
      <c r="IA34" s="7"/>
      <c r="IB34" s="7"/>
      <c r="IC34" s="7"/>
      <c r="ID34" s="7"/>
      <c r="IE34" s="7"/>
      <c r="IF34" s="7"/>
      <c r="IG34" s="7"/>
      <c r="IH34" s="7"/>
      <c r="II34" s="7"/>
      <c r="IJ34" s="7"/>
      <c r="IK34" s="7"/>
      <c r="IL34" s="7"/>
      <c r="IM34" s="7"/>
      <c r="IN34" s="7"/>
      <c r="IO34" s="7"/>
      <c r="IP34" s="7"/>
      <c r="IQ34" s="7"/>
      <c r="IR34" s="7"/>
      <c r="IS34" s="7"/>
      <c r="IT34" s="7"/>
      <c r="IU34" s="7"/>
      <c r="IV34" s="7"/>
      <c r="IW34" s="7"/>
      <c r="IX34" s="7"/>
      <c r="IY34" s="7"/>
      <c r="IZ34" s="7"/>
      <c r="JA34" s="7"/>
      <c r="JB34" s="7"/>
      <c r="JC34" s="7"/>
      <c r="JD34" s="7"/>
      <c r="JE34" s="7"/>
      <c r="JF34" s="7"/>
      <c r="JG34" s="7"/>
      <c r="JH34" s="7"/>
      <c r="JI34" s="7"/>
      <c r="JJ34" s="7"/>
      <c r="JK34" s="7"/>
      <c r="JL34" s="7"/>
      <c r="JM34" s="7"/>
      <c r="JN34" s="7"/>
      <c r="JO34" s="7"/>
      <c r="JP34" s="7"/>
      <c r="JQ34" s="7"/>
      <c r="JR34" s="7"/>
      <c r="JS34" s="7"/>
      <c r="JT34" s="7"/>
      <c r="JU34" s="7"/>
      <c r="JV34" s="7"/>
      <c r="JW34" s="7"/>
      <c r="JX34" s="7"/>
      <c r="JY34" s="7"/>
      <c r="JZ34" s="7"/>
      <c r="KA34" s="7"/>
      <c r="KB34" s="7"/>
      <c r="KC34" s="7"/>
      <c r="KD34" s="7"/>
      <c r="KE34" s="7"/>
      <c r="KF34" s="7"/>
      <c r="KG34" s="7"/>
      <c r="KH34" s="7"/>
      <c r="KI34" s="7"/>
      <c r="KJ34" s="7"/>
      <c r="KK34" s="7"/>
      <c r="KL34" s="7"/>
      <c r="KM34" s="7"/>
      <c r="KN34" s="7"/>
      <c r="KO34" s="7"/>
      <c r="KP34" s="7"/>
      <c r="KQ34" s="7"/>
      <c r="KR34" s="7"/>
      <c r="KS34" s="7"/>
      <c r="KT34" s="7"/>
      <c r="KU34" s="7"/>
      <c r="KV34" s="7"/>
      <c r="KW34" s="7"/>
      <c r="KX34" s="7"/>
      <c r="KY34" s="7"/>
      <c r="KZ34" s="7"/>
      <c r="LA34" s="7"/>
      <c r="LB34" s="7"/>
      <c r="LC34" s="7"/>
      <c r="LD34" s="7"/>
      <c r="LE34" s="7"/>
      <c r="LF34" s="7"/>
      <c r="LG34" s="7"/>
      <c r="LH34" s="7"/>
      <c r="LI34" s="7"/>
      <c r="LJ34" s="7"/>
      <c r="LK34" s="7"/>
      <c r="LL34" s="7"/>
      <c r="LM34" s="7"/>
      <c r="LN34" s="7"/>
      <c r="LO34" s="7"/>
      <c r="LP34" s="7"/>
      <c r="LQ34" s="7"/>
      <c r="LR34" s="7"/>
      <c r="LS34" s="7"/>
      <c r="LT34" s="7"/>
      <c r="LU34" s="7"/>
      <c r="LV34" s="7"/>
      <c r="LW34" s="7"/>
      <c r="LX34" s="7"/>
      <c r="LY34" s="7"/>
    </row>
    <row r="35" spans="29:337" s="6" customFormat="1" x14ac:dyDescent="0.25">
      <c r="AC35" s="7"/>
      <c r="AD35" s="7"/>
      <c r="AE35" s="7"/>
      <c r="AF35" s="7"/>
      <c r="AG35" s="7"/>
      <c r="AH35" s="7"/>
      <c r="AI35" s="7"/>
      <c r="AJ35" s="7"/>
      <c r="AK35" s="7"/>
      <c r="AL35" s="7"/>
      <c r="AM35" s="7"/>
      <c r="AN35" s="7"/>
      <c r="AO35" s="7"/>
      <c r="AP35" s="7"/>
      <c r="AQ35" s="7"/>
      <c r="AR35" s="7"/>
      <c r="AS35" s="7"/>
      <c r="AT35" s="7"/>
      <c r="AU35" s="7"/>
      <c r="AV35" s="7"/>
      <c r="AW35" s="7"/>
      <c r="AX35" s="7"/>
      <c r="AY35" s="7"/>
      <c r="AZ35" s="7"/>
      <c r="BA35" s="7"/>
      <c r="BB35" s="7"/>
      <c r="BC35" s="7"/>
      <c r="BD35" s="7"/>
      <c r="BE35" s="7"/>
      <c r="BF35" s="7"/>
      <c r="BG35" s="7"/>
      <c r="BH35" s="7"/>
      <c r="BI35" s="7"/>
      <c r="BJ35" s="7"/>
      <c r="BK35" s="7"/>
      <c r="BL35" s="7"/>
      <c r="BM35" s="7"/>
      <c r="BN35" s="7"/>
      <c r="BO35" s="7"/>
      <c r="BP35" s="7"/>
      <c r="BQ35" s="7"/>
      <c r="BR35" s="7"/>
      <c r="BS35" s="7"/>
      <c r="BT35" s="7"/>
      <c r="BU35" s="7"/>
      <c r="BV35" s="7"/>
      <c r="BW35" s="7"/>
      <c r="BX35" s="7"/>
      <c r="BY35" s="7"/>
      <c r="BZ35" s="7"/>
      <c r="CA35" s="7"/>
      <c r="CB35" s="7"/>
      <c r="CC35" s="7"/>
      <c r="CD35" s="7"/>
      <c r="CE35" s="7"/>
      <c r="CF35" s="7"/>
      <c r="CG35" s="7"/>
      <c r="CH35" s="7"/>
      <c r="CI35" s="7"/>
      <c r="CJ35" s="7"/>
      <c r="CK35" s="7"/>
      <c r="CL35" s="7"/>
      <c r="CM35" s="7"/>
      <c r="CN35" s="7"/>
      <c r="CO35" s="7"/>
      <c r="CP35" s="7"/>
      <c r="CQ35" s="7"/>
      <c r="CR35" s="7"/>
      <c r="CS35" s="7"/>
      <c r="CT35" s="7"/>
      <c r="CU35" s="7"/>
      <c r="CV35" s="7"/>
      <c r="CW35" s="7"/>
      <c r="CX35" s="7"/>
      <c r="CY35" s="7"/>
      <c r="CZ35" s="7"/>
      <c r="DA35" s="7"/>
      <c r="DB35" s="7"/>
      <c r="DC35" s="7"/>
      <c r="DD35" s="7"/>
      <c r="DE35" s="7"/>
      <c r="DF35" s="7"/>
      <c r="DG35" s="7"/>
      <c r="DH35" s="7"/>
      <c r="DI35" s="7"/>
      <c r="DJ35" s="7"/>
      <c r="DK35" s="7"/>
      <c r="DL35" s="7"/>
      <c r="DM35" s="7"/>
      <c r="DN35" s="7"/>
      <c r="DO35" s="7"/>
      <c r="DP35" s="7"/>
      <c r="DQ35" s="7"/>
      <c r="DR35" s="7"/>
      <c r="DS35" s="7"/>
      <c r="DT35" s="7"/>
      <c r="DU35" s="7"/>
      <c r="DV35" s="7"/>
      <c r="DW35" s="7"/>
      <c r="DX35" s="7"/>
      <c r="DY35" s="7"/>
      <c r="DZ35" s="7"/>
      <c r="EA35" s="7"/>
      <c r="EB35" s="7"/>
      <c r="EC35" s="7"/>
      <c r="ED35" s="7"/>
      <c r="EE35" s="7"/>
      <c r="EF35" s="7"/>
      <c r="EG35" s="7"/>
      <c r="EH35" s="7"/>
      <c r="EI35" s="7"/>
      <c r="EJ35" s="7"/>
      <c r="EK35" s="7"/>
      <c r="EL35" s="7"/>
      <c r="EM35" s="7"/>
      <c r="EN35" s="7"/>
      <c r="EO35" s="7"/>
      <c r="EP35" s="7"/>
      <c r="EQ35" s="7"/>
      <c r="ER35" s="7"/>
      <c r="ES35" s="7"/>
      <c r="ET35" s="7"/>
      <c r="EU35" s="7"/>
      <c r="EV35" s="7"/>
      <c r="EW35" s="7"/>
      <c r="EX35" s="7"/>
      <c r="EY35" s="7"/>
      <c r="EZ35" s="7"/>
      <c r="FA35" s="7"/>
      <c r="FB35" s="7"/>
      <c r="FC35" s="7"/>
      <c r="FD35" s="7"/>
      <c r="FE35" s="7"/>
      <c r="FF35" s="7"/>
      <c r="FG35" s="7"/>
      <c r="FH35" s="7"/>
      <c r="FI35" s="7"/>
      <c r="FJ35" s="7"/>
      <c r="FK35" s="7"/>
      <c r="FL35" s="7"/>
      <c r="FM35" s="7"/>
      <c r="FN35" s="7"/>
      <c r="FO35" s="7"/>
      <c r="FP35" s="7"/>
      <c r="FQ35" s="7"/>
      <c r="FR35" s="7"/>
      <c r="FS35" s="7"/>
      <c r="FT35" s="7"/>
      <c r="FU35" s="7"/>
      <c r="FV35" s="7"/>
      <c r="FW35" s="7"/>
      <c r="FX35" s="7"/>
      <c r="FY35" s="7"/>
      <c r="FZ35" s="7"/>
      <c r="GA35" s="7"/>
      <c r="GB35" s="7"/>
      <c r="GC35" s="7"/>
      <c r="GD35" s="7"/>
      <c r="GE35" s="7"/>
      <c r="GF35" s="7"/>
      <c r="GG35" s="7"/>
      <c r="GH35" s="7"/>
      <c r="GI35" s="7"/>
      <c r="GJ35" s="7"/>
      <c r="GK35" s="7"/>
      <c r="GL35" s="7"/>
      <c r="GM35" s="7"/>
      <c r="GN35" s="7"/>
      <c r="GO35" s="7"/>
      <c r="GP35" s="7"/>
      <c r="GQ35" s="7"/>
      <c r="GR35" s="7"/>
      <c r="GS35" s="7"/>
      <c r="GT35" s="7"/>
      <c r="GU35" s="7"/>
      <c r="GV35" s="7"/>
      <c r="GW35" s="7"/>
      <c r="GX35" s="7"/>
      <c r="GY35" s="7"/>
      <c r="GZ35" s="7"/>
      <c r="HA35" s="7"/>
      <c r="HB35" s="7"/>
      <c r="HC35" s="7"/>
      <c r="HD35" s="7"/>
      <c r="HE35" s="7"/>
      <c r="HF35" s="7"/>
      <c r="HG35" s="7"/>
      <c r="HH35" s="7"/>
      <c r="HI35" s="7"/>
      <c r="HJ35" s="7"/>
      <c r="HK35" s="7"/>
      <c r="HL35" s="7"/>
      <c r="HM35" s="7"/>
      <c r="HN35" s="7"/>
      <c r="HO35" s="7"/>
      <c r="HP35" s="7"/>
      <c r="HQ35" s="7"/>
      <c r="HR35" s="7"/>
      <c r="HS35" s="7"/>
      <c r="HT35" s="7"/>
      <c r="HU35" s="7"/>
      <c r="HV35" s="7"/>
      <c r="HW35" s="7"/>
      <c r="HX35" s="7"/>
      <c r="HY35" s="7"/>
      <c r="HZ35" s="7"/>
      <c r="IA35" s="7"/>
      <c r="IB35" s="7"/>
      <c r="IC35" s="7"/>
      <c r="ID35" s="7"/>
      <c r="IE35" s="7"/>
      <c r="IF35" s="7"/>
      <c r="IG35" s="7"/>
      <c r="IH35" s="7"/>
      <c r="II35" s="7"/>
      <c r="IJ35" s="7"/>
      <c r="IK35" s="7"/>
      <c r="IL35" s="7"/>
      <c r="IM35" s="7"/>
      <c r="IN35" s="7"/>
      <c r="IO35" s="7"/>
      <c r="IP35" s="7"/>
      <c r="IQ35" s="7"/>
      <c r="IR35" s="7"/>
      <c r="IS35" s="7"/>
      <c r="IT35" s="7"/>
      <c r="IU35" s="7"/>
      <c r="IV35" s="7"/>
      <c r="IW35" s="7"/>
      <c r="IX35" s="7"/>
      <c r="IY35" s="7"/>
      <c r="IZ35" s="7"/>
      <c r="JA35" s="7"/>
      <c r="JB35" s="7"/>
      <c r="JC35" s="7"/>
      <c r="JD35" s="7"/>
      <c r="JE35" s="7"/>
      <c r="JF35" s="7"/>
      <c r="JG35" s="7"/>
      <c r="JH35" s="7"/>
      <c r="JI35" s="7"/>
      <c r="JJ35" s="7"/>
      <c r="JK35" s="7"/>
      <c r="JL35" s="7"/>
      <c r="JM35" s="7"/>
      <c r="JN35" s="7"/>
      <c r="JO35" s="7"/>
      <c r="JP35" s="7"/>
      <c r="JQ35" s="7"/>
      <c r="JR35" s="7"/>
      <c r="JS35" s="7"/>
      <c r="JT35" s="7"/>
      <c r="JU35" s="7"/>
      <c r="JV35" s="7"/>
      <c r="JW35" s="7"/>
      <c r="JX35" s="7"/>
      <c r="JY35" s="7"/>
      <c r="JZ35" s="7"/>
      <c r="KA35" s="7"/>
      <c r="KB35" s="7"/>
      <c r="KC35" s="7"/>
      <c r="KD35" s="7"/>
      <c r="KE35" s="7"/>
      <c r="KF35" s="7"/>
      <c r="KG35" s="7"/>
      <c r="KH35" s="7"/>
      <c r="KI35" s="7"/>
      <c r="KJ35" s="7"/>
      <c r="KK35" s="7"/>
      <c r="KL35" s="7"/>
      <c r="KM35" s="7"/>
      <c r="KN35" s="7"/>
      <c r="KO35" s="7"/>
      <c r="KP35" s="7"/>
      <c r="KQ35" s="7"/>
      <c r="KR35" s="7"/>
      <c r="KS35" s="7"/>
      <c r="KT35" s="7"/>
      <c r="KU35" s="7"/>
      <c r="KV35" s="7"/>
      <c r="KW35" s="7"/>
      <c r="KX35" s="7"/>
      <c r="KY35" s="7"/>
      <c r="KZ35" s="7"/>
      <c r="LA35" s="7"/>
      <c r="LB35" s="7"/>
      <c r="LC35" s="7"/>
      <c r="LD35" s="7"/>
      <c r="LE35" s="7"/>
      <c r="LF35" s="7"/>
      <c r="LG35" s="7"/>
      <c r="LH35" s="7"/>
      <c r="LI35" s="7"/>
      <c r="LJ35" s="7"/>
      <c r="LK35" s="7"/>
      <c r="LL35" s="7"/>
      <c r="LM35" s="7"/>
      <c r="LN35" s="7"/>
      <c r="LO35" s="7"/>
      <c r="LP35" s="7"/>
      <c r="LQ35" s="7"/>
      <c r="LR35" s="7"/>
      <c r="LS35" s="7"/>
      <c r="LT35" s="7"/>
      <c r="LU35" s="7"/>
      <c r="LV35" s="7"/>
      <c r="LW35" s="7"/>
      <c r="LX35" s="7"/>
      <c r="LY35" s="7"/>
    </row>
    <row r="36" spans="29:337" s="6" customFormat="1" x14ac:dyDescent="0.25">
      <c r="AC36" s="7"/>
      <c r="AD36" s="7"/>
      <c r="AE36" s="7"/>
      <c r="AF36" s="7"/>
      <c r="AG36" s="7"/>
      <c r="AH36" s="7"/>
      <c r="AI36" s="7"/>
      <c r="AJ36" s="7"/>
      <c r="AK36" s="7"/>
      <c r="AL36" s="7"/>
      <c r="AM36" s="7"/>
      <c r="AN36" s="7"/>
      <c r="AO36" s="7"/>
      <c r="AP36" s="7"/>
      <c r="AQ36" s="7"/>
      <c r="AR36" s="7"/>
      <c r="AS36" s="7"/>
      <c r="AT36" s="7"/>
      <c r="AU36" s="7"/>
      <c r="AV36" s="7"/>
      <c r="AW36" s="7"/>
      <c r="AX36" s="7"/>
      <c r="AY36" s="7"/>
      <c r="AZ36" s="7"/>
      <c r="BA36" s="7"/>
      <c r="BB36" s="7"/>
      <c r="BC36" s="7"/>
      <c r="BD36" s="7"/>
      <c r="BE36" s="7"/>
      <c r="BF36" s="7"/>
      <c r="BG36" s="7"/>
      <c r="BH36" s="7"/>
      <c r="BI36" s="7"/>
      <c r="BJ36" s="7"/>
      <c r="BK36" s="7"/>
      <c r="BL36" s="7"/>
      <c r="BM36" s="7"/>
      <c r="BN36" s="7"/>
      <c r="BO36" s="7"/>
      <c r="BP36" s="7"/>
      <c r="BQ36" s="7"/>
      <c r="BR36" s="7"/>
      <c r="BS36" s="7"/>
      <c r="BT36" s="7"/>
      <c r="BU36" s="7"/>
      <c r="BV36" s="7"/>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S36" s="7"/>
      <c r="DT36" s="7"/>
      <c r="DU36" s="7"/>
      <c r="DV36" s="7"/>
      <c r="DW36" s="7"/>
      <c r="DX36" s="7"/>
      <c r="DY36" s="7"/>
      <c r="DZ36" s="7"/>
      <c r="EA36" s="7"/>
      <c r="EB36" s="7"/>
      <c r="EC36" s="7"/>
      <c r="ED36" s="7"/>
      <c r="EE36" s="7"/>
      <c r="EF36" s="7"/>
      <c r="EG36" s="7"/>
      <c r="EH36" s="7"/>
      <c r="EI36" s="7"/>
      <c r="EJ36" s="7"/>
      <c r="EK36" s="7"/>
      <c r="EL36" s="7"/>
      <c r="EM36" s="7"/>
      <c r="EN36" s="7"/>
      <c r="EO36" s="7"/>
      <c r="EP36" s="7"/>
      <c r="EQ36" s="7"/>
      <c r="ER36" s="7"/>
      <c r="ES36" s="7"/>
      <c r="ET36" s="7"/>
      <c r="EU36" s="7"/>
      <c r="EV36" s="7"/>
      <c r="EW36" s="7"/>
      <c r="EX36" s="7"/>
      <c r="EY36" s="7"/>
      <c r="EZ36" s="7"/>
      <c r="FA36" s="7"/>
      <c r="FB36" s="7"/>
      <c r="FC36" s="7"/>
      <c r="FD36" s="7"/>
      <c r="FE36" s="7"/>
      <c r="FF36" s="7"/>
      <c r="FG36" s="7"/>
      <c r="FH36" s="7"/>
      <c r="FI36" s="7"/>
      <c r="FJ36" s="7"/>
      <c r="FK36" s="7"/>
      <c r="FL36" s="7"/>
      <c r="FM36" s="7"/>
      <c r="FN36" s="7"/>
      <c r="FO36" s="7"/>
      <c r="FP36" s="7"/>
      <c r="FQ36" s="7"/>
      <c r="FR36" s="7"/>
      <c r="FS36" s="7"/>
      <c r="FT36" s="7"/>
      <c r="FU36" s="7"/>
      <c r="FV36" s="7"/>
      <c r="FW36" s="7"/>
      <c r="FX36" s="7"/>
      <c r="FY36" s="7"/>
      <c r="FZ36" s="7"/>
      <c r="GA36" s="7"/>
      <c r="GB36" s="7"/>
      <c r="GC36" s="7"/>
      <c r="GD36" s="7"/>
      <c r="GE36" s="7"/>
      <c r="GF36" s="7"/>
      <c r="GG36" s="7"/>
      <c r="GH36" s="7"/>
      <c r="GI36" s="7"/>
      <c r="GJ36" s="7"/>
      <c r="GK36" s="7"/>
      <c r="GL36" s="7"/>
      <c r="GM36" s="7"/>
      <c r="GN36" s="7"/>
      <c r="GO36" s="7"/>
      <c r="GP36" s="7"/>
      <c r="GQ36" s="7"/>
      <c r="GR36" s="7"/>
      <c r="GS36" s="7"/>
      <c r="GT36" s="7"/>
      <c r="GU36" s="7"/>
      <c r="GV36" s="7"/>
      <c r="GW36" s="7"/>
      <c r="GX36" s="7"/>
      <c r="GY36" s="7"/>
      <c r="GZ36" s="7"/>
      <c r="HA36" s="7"/>
      <c r="HB36" s="7"/>
      <c r="HC36" s="7"/>
      <c r="HD36" s="7"/>
      <c r="HE36" s="7"/>
      <c r="HF36" s="7"/>
      <c r="HG36" s="7"/>
      <c r="HH36" s="7"/>
      <c r="HI36" s="7"/>
      <c r="HJ36" s="7"/>
      <c r="HK36" s="7"/>
      <c r="HL36" s="7"/>
      <c r="HM36" s="7"/>
      <c r="HN36" s="7"/>
      <c r="HO36" s="7"/>
      <c r="HP36" s="7"/>
      <c r="HQ36" s="7"/>
      <c r="HR36" s="7"/>
      <c r="HS36" s="7"/>
      <c r="HT36" s="7"/>
      <c r="HU36" s="7"/>
      <c r="HV36" s="7"/>
      <c r="HW36" s="7"/>
      <c r="HX36" s="7"/>
      <c r="HY36" s="7"/>
      <c r="HZ36" s="7"/>
      <c r="IA36" s="7"/>
      <c r="IB36" s="7"/>
      <c r="IC36" s="7"/>
      <c r="ID36" s="7"/>
      <c r="IE36" s="7"/>
      <c r="IF36" s="7"/>
      <c r="IG36" s="7"/>
      <c r="IH36" s="7"/>
      <c r="II36" s="7"/>
      <c r="IJ36" s="7"/>
      <c r="IK36" s="7"/>
      <c r="IL36" s="7"/>
      <c r="IM36" s="7"/>
      <c r="IN36" s="7"/>
      <c r="IO36" s="7"/>
      <c r="IP36" s="7"/>
      <c r="IQ36" s="7"/>
      <c r="IR36" s="7"/>
      <c r="IS36" s="7"/>
      <c r="IT36" s="7"/>
      <c r="IU36" s="7"/>
      <c r="IV36" s="7"/>
      <c r="IW36" s="7"/>
      <c r="IX36" s="7"/>
      <c r="IY36" s="7"/>
      <c r="IZ36" s="7"/>
      <c r="JA36" s="7"/>
      <c r="JB36" s="7"/>
      <c r="JC36" s="7"/>
      <c r="JD36" s="7"/>
      <c r="JE36" s="7"/>
      <c r="JF36" s="7"/>
      <c r="JG36" s="7"/>
      <c r="JH36" s="7"/>
      <c r="JI36" s="7"/>
      <c r="JJ36" s="7"/>
      <c r="JK36" s="7"/>
      <c r="JL36" s="7"/>
      <c r="JM36" s="7"/>
      <c r="JN36" s="7"/>
      <c r="JO36" s="7"/>
      <c r="JP36" s="7"/>
      <c r="JQ36" s="7"/>
      <c r="JR36" s="7"/>
      <c r="JS36" s="7"/>
      <c r="JT36" s="7"/>
      <c r="JU36" s="7"/>
      <c r="JV36" s="7"/>
      <c r="JW36" s="7"/>
      <c r="JX36" s="7"/>
      <c r="JY36" s="7"/>
      <c r="JZ36" s="7"/>
      <c r="KA36" s="7"/>
      <c r="KB36" s="7"/>
      <c r="KC36" s="7"/>
      <c r="KD36" s="7"/>
      <c r="KE36" s="7"/>
      <c r="KF36" s="7"/>
      <c r="KG36" s="7"/>
      <c r="KH36" s="7"/>
      <c r="KI36" s="7"/>
      <c r="KJ36" s="7"/>
      <c r="KK36" s="7"/>
      <c r="KL36" s="7"/>
      <c r="KM36" s="7"/>
      <c r="KN36" s="7"/>
      <c r="KO36" s="7"/>
      <c r="KP36" s="7"/>
      <c r="KQ36" s="7"/>
      <c r="KR36" s="7"/>
      <c r="KS36" s="7"/>
      <c r="KT36" s="7"/>
      <c r="KU36" s="7"/>
      <c r="KV36" s="7"/>
      <c r="KW36" s="7"/>
      <c r="KX36" s="7"/>
      <c r="KY36" s="7"/>
      <c r="KZ36" s="7"/>
      <c r="LA36" s="7"/>
      <c r="LB36" s="7"/>
      <c r="LC36" s="7"/>
      <c r="LD36" s="7"/>
      <c r="LE36" s="7"/>
      <c r="LF36" s="7"/>
      <c r="LG36" s="7"/>
      <c r="LH36" s="7"/>
      <c r="LI36" s="7"/>
      <c r="LJ36" s="7"/>
      <c r="LK36" s="7"/>
      <c r="LL36" s="7"/>
      <c r="LM36" s="7"/>
      <c r="LN36" s="7"/>
      <c r="LO36" s="7"/>
      <c r="LP36" s="7"/>
      <c r="LQ36" s="7"/>
      <c r="LR36" s="7"/>
      <c r="LS36" s="7"/>
      <c r="LT36" s="7"/>
      <c r="LU36" s="7"/>
      <c r="LV36" s="7"/>
      <c r="LW36" s="7"/>
      <c r="LX36" s="7"/>
      <c r="LY36" s="7"/>
    </row>
    <row r="37" spans="29:337" s="6" customFormat="1" x14ac:dyDescent="0.25">
      <c r="AC37" s="7"/>
      <c r="AD37" s="7"/>
      <c r="AE37" s="7"/>
      <c r="AF37" s="7"/>
      <c r="AG37" s="7"/>
      <c r="AH37" s="7"/>
      <c r="AI37" s="7"/>
      <c r="AJ37" s="7"/>
      <c r="AK37" s="7"/>
      <c r="AL37" s="7"/>
      <c r="AM37" s="7"/>
      <c r="AN37" s="7"/>
      <c r="AO37" s="7"/>
      <c r="AP37" s="7"/>
      <c r="AQ37" s="7"/>
      <c r="AR37" s="7"/>
      <c r="AS37" s="7"/>
      <c r="AT37" s="7"/>
      <c r="AU37" s="7"/>
      <c r="AV37" s="7"/>
      <c r="AW37" s="7"/>
      <c r="AX37" s="7"/>
      <c r="AY37" s="7"/>
      <c r="AZ37" s="7"/>
      <c r="BA37" s="7"/>
      <c r="BB37" s="7"/>
      <c r="BC37" s="7"/>
      <c r="BD37" s="7"/>
      <c r="BE37" s="7"/>
      <c r="BF37" s="7"/>
      <c r="BG37" s="7"/>
      <c r="BH37" s="7"/>
      <c r="BI37" s="7"/>
      <c r="BJ37" s="7"/>
      <c r="BK37" s="7"/>
      <c r="BL37" s="7"/>
      <c r="BM37" s="7"/>
      <c r="BN37" s="7"/>
      <c r="BO37" s="7"/>
      <c r="BP37" s="7"/>
      <c r="BQ37" s="7"/>
      <c r="BR37" s="7"/>
      <c r="BS37" s="7"/>
      <c r="BT37" s="7"/>
      <c r="BU37" s="7"/>
      <c r="BV37" s="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S37" s="7"/>
      <c r="DT37" s="7"/>
      <c r="DU37" s="7"/>
      <c r="DV37" s="7"/>
      <c r="DW37" s="7"/>
      <c r="DX37" s="7"/>
      <c r="DY37" s="7"/>
      <c r="DZ37" s="7"/>
      <c r="EA37" s="7"/>
      <c r="EB37" s="7"/>
      <c r="EC37" s="7"/>
      <c r="ED37" s="7"/>
      <c r="EE37" s="7"/>
      <c r="EF37" s="7"/>
      <c r="EG37" s="7"/>
      <c r="EH37" s="7"/>
      <c r="EI37" s="7"/>
      <c r="EJ37" s="7"/>
      <c r="EK37" s="7"/>
      <c r="EL37" s="7"/>
      <c r="EM37" s="7"/>
      <c r="EN37" s="7"/>
      <c r="EO37" s="7"/>
      <c r="EP37" s="7"/>
      <c r="EQ37" s="7"/>
      <c r="ER37" s="7"/>
      <c r="ES37" s="7"/>
      <c r="ET37" s="7"/>
      <c r="EU37" s="7"/>
      <c r="EV37" s="7"/>
      <c r="EW37" s="7"/>
      <c r="EX37" s="7"/>
      <c r="EY37" s="7"/>
      <c r="EZ37" s="7"/>
      <c r="FA37" s="7"/>
      <c r="FB37" s="7"/>
      <c r="FC37" s="7"/>
      <c r="FD37" s="7"/>
      <c r="FE37" s="7"/>
      <c r="FF37" s="7"/>
      <c r="FG37" s="7"/>
      <c r="FH37" s="7"/>
      <c r="FI37" s="7"/>
      <c r="FJ37" s="7"/>
      <c r="FK37" s="7"/>
      <c r="FL37" s="7"/>
      <c r="FM37" s="7"/>
      <c r="FN37" s="7"/>
      <c r="FO37" s="7"/>
      <c r="FP37" s="7"/>
      <c r="FQ37" s="7"/>
      <c r="FR37" s="7"/>
      <c r="FS37" s="7"/>
      <c r="FT37" s="7"/>
      <c r="FU37" s="7"/>
      <c r="FV37" s="7"/>
      <c r="FW37" s="7"/>
      <c r="FX37" s="7"/>
      <c r="FY37" s="7"/>
      <c r="FZ37" s="7"/>
      <c r="GA37" s="7"/>
      <c r="GB37" s="7"/>
      <c r="GC37" s="7"/>
      <c r="GD37" s="7"/>
      <c r="GE37" s="7"/>
      <c r="GF37" s="7"/>
      <c r="GG37" s="7"/>
      <c r="GH37" s="7"/>
      <c r="GI37" s="7"/>
      <c r="GJ37" s="7"/>
      <c r="GK37" s="7"/>
      <c r="GL37" s="7"/>
      <c r="GM37" s="7"/>
      <c r="GN37" s="7"/>
      <c r="GO37" s="7"/>
      <c r="GP37" s="7"/>
      <c r="GQ37" s="7"/>
      <c r="GR37" s="7"/>
      <c r="GS37" s="7"/>
      <c r="GT37" s="7"/>
      <c r="GU37" s="7"/>
      <c r="GV37" s="7"/>
      <c r="GW37" s="7"/>
      <c r="GX37" s="7"/>
      <c r="GY37" s="7"/>
      <c r="GZ37" s="7"/>
      <c r="HA37" s="7"/>
      <c r="HB37" s="7"/>
      <c r="HC37" s="7"/>
      <c r="HD37" s="7"/>
      <c r="HE37" s="7"/>
      <c r="HF37" s="7"/>
      <c r="HG37" s="7"/>
      <c r="HH37" s="7"/>
      <c r="HI37" s="7"/>
      <c r="HJ37" s="7"/>
      <c r="HK37" s="7"/>
      <c r="HL37" s="7"/>
      <c r="HM37" s="7"/>
      <c r="HN37" s="7"/>
      <c r="HO37" s="7"/>
      <c r="HP37" s="7"/>
      <c r="HQ37" s="7"/>
      <c r="HR37" s="7"/>
      <c r="HS37" s="7"/>
      <c r="HT37" s="7"/>
      <c r="HU37" s="7"/>
      <c r="HV37" s="7"/>
      <c r="HW37" s="7"/>
      <c r="HX37" s="7"/>
      <c r="HY37" s="7"/>
      <c r="HZ37" s="7"/>
      <c r="IA37" s="7"/>
      <c r="IB37" s="7"/>
      <c r="IC37" s="7"/>
      <c r="ID37" s="7"/>
      <c r="IE37" s="7"/>
      <c r="IF37" s="7"/>
      <c r="IG37" s="7"/>
      <c r="IH37" s="7"/>
      <c r="II37" s="7"/>
      <c r="IJ37" s="7"/>
      <c r="IK37" s="7"/>
      <c r="IL37" s="7"/>
      <c r="IM37" s="7"/>
      <c r="IN37" s="7"/>
      <c r="IO37" s="7"/>
      <c r="IP37" s="7"/>
      <c r="IQ37" s="7"/>
      <c r="IR37" s="7"/>
      <c r="IS37" s="7"/>
      <c r="IT37" s="7"/>
      <c r="IU37" s="7"/>
      <c r="IV37" s="7"/>
      <c r="IW37" s="7"/>
      <c r="IX37" s="7"/>
      <c r="IY37" s="7"/>
      <c r="IZ37" s="7"/>
      <c r="JA37" s="7"/>
      <c r="JB37" s="7"/>
      <c r="JC37" s="7"/>
      <c r="JD37" s="7"/>
      <c r="JE37" s="7"/>
      <c r="JF37" s="7"/>
      <c r="JG37" s="7"/>
      <c r="JH37" s="7"/>
      <c r="JI37" s="7"/>
      <c r="JJ37" s="7"/>
      <c r="JK37" s="7"/>
      <c r="JL37" s="7"/>
      <c r="JM37" s="7"/>
      <c r="JN37" s="7"/>
      <c r="JO37" s="7"/>
      <c r="JP37" s="7"/>
      <c r="JQ37" s="7"/>
      <c r="JR37" s="7"/>
      <c r="JS37" s="7"/>
      <c r="JT37" s="7"/>
      <c r="JU37" s="7"/>
      <c r="JV37" s="7"/>
      <c r="JW37" s="7"/>
      <c r="JX37" s="7"/>
      <c r="JY37" s="7"/>
      <c r="JZ37" s="7"/>
      <c r="KA37" s="7"/>
      <c r="KB37" s="7"/>
      <c r="KC37" s="7"/>
      <c r="KD37" s="7"/>
      <c r="KE37" s="7"/>
      <c r="KF37" s="7"/>
      <c r="KG37" s="7"/>
      <c r="KH37" s="7"/>
      <c r="KI37" s="7"/>
      <c r="KJ37" s="7"/>
      <c r="KK37" s="7"/>
      <c r="KL37" s="7"/>
      <c r="KM37" s="7"/>
      <c r="KN37" s="7"/>
      <c r="KO37" s="7"/>
      <c r="KP37" s="7"/>
      <c r="KQ37" s="7"/>
      <c r="KR37" s="7"/>
      <c r="KS37" s="7"/>
      <c r="KT37" s="7"/>
      <c r="KU37" s="7"/>
      <c r="KV37" s="7"/>
      <c r="KW37" s="7"/>
      <c r="KX37" s="7"/>
      <c r="KY37" s="7"/>
      <c r="KZ37" s="7"/>
      <c r="LA37" s="7"/>
      <c r="LB37" s="7"/>
      <c r="LC37" s="7"/>
      <c r="LD37" s="7"/>
      <c r="LE37" s="7"/>
      <c r="LF37" s="7"/>
      <c r="LG37" s="7"/>
      <c r="LH37" s="7"/>
      <c r="LI37" s="7"/>
      <c r="LJ37" s="7"/>
      <c r="LK37" s="7"/>
      <c r="LL37" s="7"/>
      <c r="LM37" s="7"/>
      <c r="LN37" s="7"/>
      <c r="LO37" s="7"/>
      <c r="LP37" s="7"/>
      <c r="LQ37" s="7"/>
      <c r="LR37" s="7"/>
      <c r="LS37" s="7"/>
      <c r="LT37" s="7"/>
      <c r="LU37" s="7"/>
      <c r="LV37" s="7"/>
      <c r="LW37" s="7"/>
      <c r="LX37" s="7"/>
      <c r="LY37" s="7"/>
    </row>
    <row r="38" spans="29:337" s="6" customFormat="1" x14ac:dyDescent="0.25">
      <c r="AC38" s="7"/>
      <c r="AD38" s="7"/>
      <c r="AE38" s="7"/>
      <c r="AF38" s="7"/>
      <c r="AG38" s="7"/>
      <c r="AH38" s="7"/>
      <c r="AI38" s="7"/>
      <c r="AJ38" s="7"/>
      <c r="AK38" s="7"/>
      <c r="AL38" s="7"/>
      <c r="AM38" s="7"/>
      <c r="AN38" s="7"/>
      <c r="AO38" s="7"/>
      <c r="AP38" s="7"/>
      <c r="AQ38" s="7"/>
      <c r="AR38" s="7"/>
      <c r="AS38" s="7"/>
      <c r="AT38" s="7"/>
      <c r="AU38" s="7"/>
      <c r="AV38" s="7"/>
      <c r="AW38" s="7"/>
      <c r="AX38" s="7"/>
      <c r="AY38" s="7"/>
      <c r="AZ38" s="7"/>
      <c r="BA38" s="7"/>
      <c r="BB38" s="7"/>
      <c r="BC38" s="7"/>
      <c r="BD38" s="7"/>
      <c r="BE38" s="7"/>
      <c r="BF38" s="7"/>
      <c r="BG38" s="7"/>
      <c r="BH38" s="7"/>
      <c r="BI38" s="7"/>
      <c r="BJ38" s="7"/>
      <c r="BK38" s="7"/>
      <c r="BL38" s="7"/>
      <c r="BM38" s="7"/>
      <c r="BN38" s="7"/>
      <c r="BO38" s="7"/>
      <c r="BP38" s="7"/>
      <c r="BQ38" s="7"/>
      <c r="BR38" s="7"/>
      <c r="BS38" s="7"/>
      <c r="BT38" s="7"/>
      <c r="BU38" s="7"/>
      <c r="BV38" s="7"/>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S38" s="7"/>
      <c r="DT38" s="7"/>
      <c r="DU38" s="7"/>
      <c r="DV38" s="7"/>
      <c r="DW38" s="7"/>
      <c r="DX38" s="7"/>
      <c r="DY38" s="7"/>
      <c r="DZ38" s="7"/>
      <c r="EA38" s="7"/>
      <c r="EB38" s="7"/>
      <c r="EC38" s="7"/>
      <c r="ED38" s="7"/>
      <c r="EE38" s="7"/>
      <c r="EF38" s="7"/>
      <c r="EG38" s="7"/>
      <c r="EH38" s="7"/>
      <c r="EI38" s="7"/>
      <c r="EJ38" s="7"/>
      <c r="EK38" s="7"/>
      <c r="EL38" s="7"/>
      <c r="EM38" s="7"/>
      <c r="EN38" s="7"/>
      <c r="EO38" s="7"/>
      <c r="EP38" s="7"/>
      <c r="EQ38" s="7"/>
      <c r="ER38" s="7"/>
      <c r="ES38" s="7"/>
      <c r="ET38" s="7"/>
      <c r="EU38" s="7"/>
      <c r="EV38" s="7"/>
      <c r="EW38" s="7"/>
      <c r="EX38" s="7"/>
      <c r="EY38" s="7"/>
      <c r="EZ38" s="7"/>
      <c r="FA38" s="7"/>
      <c r="FB38" s="7"/>
      <c r="FC38" s="7"/>
      <c r="FD38" s="7"/>
      <c r="FE38" s="7"/>
      <c r="FF38" s="7"/>
      <c r="FG38" s="7"/>
      <c r="FH38" s="7"/>
      <c r="FI38" s="7"/>
      <c r="FJ38" s="7"/>
      <c r="FK38" s="7"/>
      <c r="FL38" s="7"/>
      <c r="FM38" s="7"/>
      <c r="FN38" s="7"/>
      <c r="FO38" s="7"/>
      <c r="FP38" s="7"/>
      <c r="FQ38" s="7"/>
      <c r="FR38" s="7"/>
      <c r="FS38" s="7"/>
      <c r="FT38" s="7"/>
      <c r="FU38" s="7"/>
      <c r="FV38" s="7"/>
      <c r="FW38" s="7"/>
      <c r="FX38" s="7"/>
      <c r="FY38" s="7"/>
      <c r="FZ38" s="7"/>
      <c r="GA38" s="7"/>
      <c r="GB38" s="7"/>
      <c r="GC38" s="7"/>
      <c r="GD38" s="7"/>
      <c r="GE38" s="7"/>
      <c r="GF38" s="7"/>
      <c r="GG38" s="7"/>
      <c r="GH38" s="7"/>
      <c r="GI38" s="7"/>
      <c r="GJ38" s="7"/>
      <c r="GK38" s="7"/>
      <c r="GL38" s="7"/>
      <c r="GM38" s="7"/>
      <c r="GN38" s="7"/>
      <c r="GO38" s="7"/>
      <c r="GP38" s="7"/>
      <c r="GQ38" s="7"/>
      <c r="GR38" s="7"/>
      <c r="GS38" s="7"/>
      <c r="GT38" s="7"/>
      <c r="GU38" s="7"/>
      <c r="GV38" s="7"/>
      <c r="GW38" s="7"/>
      <c r="GX38" s="7"/>
      <c r="GY38" s="7"/>
      <c r="GZ38" s="7"/>
      <c r="HA38" s="7"/>
      <c r="HB38" s="7"/>
      <c r="HC38" s="7"/>
      <c r="HD38" s="7"/>
      <c r="HE38" s="7"/>
      <c r="HF38" s="7"/>
      <c r="HG38" s="7"/>
      <c r="HH38" s="7"/>
      <c r="HI38" s="7"/>
      <c r="HJ38" s="7"/>
      <c r="HK38" s="7"/>
      <c r="HL38" s="7"/>
      <c r="HM38" s="7"/>
      <c r="HN38" s="7"/>
      <c r="HO38" s="7"/>
      <c r="HP38" s="7"/>
      <c r="HQ38" s="7"/>
      <c r="HR38" s="7"/>
      <c r="HS38" s="7"/>
      <c r="HT38" s="7"/>
      <c r="HU38" s="7"/>
      <c r="HV38" s="7"/>
      <c r="HW38" s="7"/>
      <c r="HX38" s="7"/>
      <c r="HY38" s="7"/>
      <c r="HZ38" s="7"/>
      <c r="IA38" s="7"/>
      <c r="IB38" s="7"/>
      <c r="IC38" s="7"/>
      <c r="ID38" s="7"/>
      <c r="IE38" s="7"/>
      <c r="IF38" s="7"/>
      <c r="IG38" s="7"/>
      <c r="IH38" s="7"/>
      <c r="II38" s="7"/>
      <c r="IJ38" s="7"/>
      <c r="IK38" s="7"/>
      <c r="IL38" s="7"/>
      <c r="IM38" s="7"/>
      <c r="IN38" s="7"/>
      <c r="IO38" s="7"/>
      <c r="IP38" s="7"/>
      <c r="IQ38" s="7"/>
      <c r="IR38" s="7"/>
      <c r="IS38" s="7"/>
      <c r="IT38" s="7"/>
      <c r="IU38" s="7"/>
      <c r="IV38" s="7"/>
      <c r="IW38" s="7"/>
      <c r="IX38" s="7"/>
      <c r="IY38" s="7"/>
      <c r="IZ38" s="7"/>
      <c r="JA38" s="7"/>
      <c r="JB38" s="7"/>
      <c r="JC38" s="7"/>
      <c r="JD38" s="7"/>
      <c r="JE38" s="7"/>
      <c r="JF38" s="7"/>
      <c r="JG38" s="7"/>
      <c r="JH38" s="7"/>
      <c r="JI38" s="7"/>
      <c r="JJ38" s="7"/>
      <c r="JK38" s="7"/>
      <c r="JL38" s="7"/>
      <c r="JM38" s="7"/>
      <c r="JN38" s="7"/>
      <c r="JO38" s="7"/>
      <c r="JP38" s="7"/>
      <c r="JQ38" s="7"/>
      <c r="JR38" s="7"/>
      <c r="JS38" s="7"/>
      <c r="JT38" s="7"/>
      <c r="JU38" s="7"/>
      <c r="JV38" s="7"/>
      <c r="JW38" s="7"/>
      <c r="JX38" s="7"/>
      <c r="JY38" s="7"/>
      <c r="JZ38" s="7"/>
      <c r="KA38" s="7"/>
      <c r="KB38" s="7"/>
      <c r="KC38" s="7"/>
      <c r="KD38" s="7"/>
      <c r="KE38" s="7"/>
      <c r="KF38" s="7"/>
      <c r="KG38" s="7"/>
      <c r="KH38" s="7"/>
      <c r="KI38" s="7"/>
      <c r="KJ38" s="7"/>
      <c r="KK38" s="7"/>
      <c r="KL38" s="7"/>
      <c r="KM38" s="7"/>
      <c r="KN38" s="7"/>
      <c r="KO38" s="7"/>
      <c r="KP38" s="7"/>
      <c r="KQ38" s="7"/>
      <c r="KR38" s="7"/>
      <c r="KS38" s="7"/>
      <c r="KT38" s="7"/>
      <c r="KU38" s="7"/>
      <c r="KV38" s="7"/>
      <c r="KW38" s="7"/>
      <c r="KX38" s="7"/>
      <c r="KY38" s="7"/>
      <c r="KZ38" s="7"/>
      <c r="LA38" s="7"/>
      <c r="LB38" s="7"/>
      <c r="LC38" s="7"/>
      <c r="LD38" s="7"/>
      <c r="LE38" s="7"/>
      <c r="LF38" s="7"/>
      <c r="LG38" s="7"/>
      <c r="LH38" s="7"/>
      <c r="LI38" s="7"/>
      <c r="LJ38" s="7"/>
      <c r="LK38" s="7"/>
      <c r="LL38" s="7"/>
      <c r="LM38" s="7"/>
      <c r="LN38" s="7"/>
      <c r="LO38" s="7"/>
      <c r="LP38" s="7"/>
      <c r="LQ38" s="7"/>
      <c r="LR38" s="7"/>
      <c r="LS38" s="7"/>
      <c r="LT38" s="7"/>
      <c r="LU38" s="7"/>
      <c r="LV38" s="7"/>
      <c r="LW38" s="7"/>
      <c r="LX38" s="7"/>
      <c r="LY38" s="7"/>
    </row>
    <row r="39" spans="29:337" s="6" customFormat="1" x14ac:dyDescent="0.25">
      <c r="AC39" s="7"/>
      <c r="AD39" s="7"/>
      <c r="AE39" s="7"/>
      <c r="AF39" s="7"/>
      <c r="AG39" s="7"/>
      <c r="AH39" s="7"/>
      <c r="AI39" s="7"/>
      <c r="AJ39" s="7"/>
      <c r="AK39" s="7"/>
      <c r="AL39" s="7"/>
      <c r="AM39" s="7"/>
      <c r="AN39" s="7"/>
      <c r="AO39" s="7"/>
      <c r="AP39" s="7"/>
      <c r="AQ39" s="7"/>
      <c r="AR39" s="7"/>
      <c r="AS39" s="7"/>
      <c r="AT39" s="7"/>
      <c r="AU39" s="7"/>
      <c r="AV39" s="7"/>
      <c r="AW39" s="7"/>
      <c r="AX39" s="7"/>
      <c r="AY39" s="7"/>
      <c r="AZ39" s="7"/>
      <c r="BA39" s="7"/>
      <c r="BB39" s="7"/>
      <c r="BC39" s="7"/>
      <c r="BD39" s="7"/>
      <c r="BE39" s="7"/>
      <c r="BF39" s="7"/>
      <c r="BG39" s="7"/>
      <c r="BH39" s="7"/>
      <c r="BI39" s="7"/>
      <c r="BJ39" s="7"/>
      <c r="BK39" s="7"/>
      <c r="BL39" s="7"/>
      <c r="BM39" s="7"/>
      <c r="BN39" s="7"/>
      <c r="BO39" s="7"/>
      <c r="BP39" s="7"/>
      <c r="BQ39" s="7"/>
      <c r="BR39" s="7"/>
      <c r="BS39" s="7"/>
      <c r="BT39" s="7"/>
      <c r="BU39" s="7"/>
      <c r="BV39" s="7"/>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S39" s="7"/>
      <c r="DT39" s="7"/>
      <c r="DU39" s="7"/>
      <c r="DV39" s="7"/>
      <c r="DW39" s="7"/>
      <c r="DX39" s="7"/>
      <c r="DY39" s="7"/>
      <c r="DZ39" s="7"/>
      <c r="EA39" s="7"/>
      <c r="EB39" s="7"/>
      <c r="EC39" s="7"/>
      <c r="ED39" s="7"/>
      <c r="EE39" s="7"/>
      <c r="EF39" s="7"/>
      <c r="EG39" s="7"/>
      <c r="EH39" s="7"/>
      <c r="EI39" s="7"/>
      <c r="EJ39" s="7"/>
      <c r="EK39" s="7"/>
      <c r="EL39" s="7"/>
      <c r="EM39" s="7"/>
      <c r="EN39" s="7"/>
      <c r="EO39" s="7"/>
      <c r="EP39" s="7"/>
      <c r="EQ39" s="7"/>
      <c r="ER39" s="7"/>
      <c r="ES39" s="7"/>
      <c r="ET39" s="7"/>
      <c r="EU39" s="7"/>
      <c r="EV39" s="7"/>
      <c r="EW39" s="7"/>
      <c r="EX39" s="7"/>
      <c r="EY39" s="7"/>
      <c r="EZ39" s="7"/>
      <c r="FA39" s="7"/>
      <c r="FB39" s="7"/>
      <c r="FC39" s="7"/>
      <c r="FD39" s="7"/>
      <c r="FE39" s="7"/>
      <c r="FF39" s="7"/>
      <c r="FG39" s="7"/>
      <c r="FH39" s="7"/>
      <c r="FI39" s="7"/>
      <c r="FJ39" s="7"/>
      <c r="FK39" s="7"/>
      <c r="FL39" s="7"/>
      <c r="FM39" s="7"/>
      <c r="FN39" s="7"/>
      <c r="FO39" s="7"/>
      <c r="FP39" s="7"/>
      <c r="FQ39" s="7"/>
      <c r="FR39" s="7"/>
      <c r="FS39" s="7"/>
      <c r="FT39" s="7"/>
      <c r="FU39" s="7"/>
      <c r="FV39" s="7"/>
      <c r="FW39" s="7"/>
      <c r="FX39" s="7"/>
      <c r="FY39" s="7"/>
      <c r="FZ39" s="7"/>
      <c r="GA39" s="7"/>
      <c r="GB39" s="7"/>
      <c r="GC39" s="7"/>
      <c r="GD39" s="7"/>
      <c r="GE39" s="7"/>
      <c r="GF39" s="7"/>
      <c r="GG39" s="7"/>
      <c r="GH39" s="7"/>
      <c r="GI39" s="7"/>
      <c r="GJ39" s="7"/>
      <c r="GK39" s="7"/>
      <c r="GL39" s="7"/>
      <c r="GM39" s="7"/>
      <c r="GN39" s="7"/>
      <c r="GO39" s="7"/>
      <c r="GP39" s="7"/>
      <c r="GQ39" s="7"/>
      <c r="GR39" s="7"/>
      <c r="GS39" s="7"/>
      <c r="GT39" s="7"/>
      <c r="GU39" s="7"/>
      <c r="GV39" s="7"/>
      <c r="GW39" s="7"/>
      <c r="GX39" s="7"/>
      <c r="GY39" s="7"/>
      <c r="GZ39" s="7"/>
      <c r="HA39" s="7"/>
      <c r="HB39" s="7"/>
      <c r="HC39" s="7"/>
      <c r="HD39" s="7"/>
      <c r="HE39" s="7"/>
      <c r="HF39" s="7"/>
      <c r="HG39" s="7"/>
      <c r="HH39" s="7"/>
      <c r="HI39" s="7"/>
      <c r="HJ39" s="7"/>
      <c r="HK39" s="7"/>
      <c r="HL39" s="7"/>
      <c r="HM39" s="7"/>
      <c r="HN39" s="7"/>
      <c r="HO39" s="7"/>
      <c r="HP39" s="7"/>
      <c r="HQ39" s="7"/>
      <c r="HR39" s="7"/>
      <c r="HS39" s="7"/>
      <c r="HT39" s="7"/>
      <c r="HU39" s="7"/>
      <c r="HV39" s="7"/>
      <c r="HW39" s="7"/>
      <c r="HX39" s="7"/>
      <c r="HY39" s="7"/>
      <c r="HZ39" s="7"/>
      <c r="IA39" s="7"/>
      <c r="IB39" s="7"/>
      <c r="IC39" s="7"/>
      <c r="ID39" s="7"/>
      <c r="IE39" s="7"/>
      <c r="IF39" s="7"/>
      <c r="IG39" s="7"/>
      <c r="IH39" s="7"/>
      <c r="II39" s="7"/>
      <c r="IJ39" s="7"/>
      <c r="IK39" s="7"/>
      <c r="IL39" s="7"/>
      <c r="IM39" s="7"/>
      <c r="IN39" s="7"/>
      <c r="IO39" s="7"/>
      <c r="IP39" s="7"/>
      <c r="IQ39" s="7"/>
      <c r="IR39" s="7"/>
      <c r="IS39" s="7"/>
      <c r="IT39" s="7"/>
      <c r="IU39" s="7"/>
      <c r="IV39" s="7"/>
      <c r="IW39" s="7"/>
      <c r="IX39" s="7"/>
      <c r="IY39" s="7"/>
      <c r="IZ39" s="7"/>
      <c r="JA39" s="7"/>
      <c r="JB39" s="7"/>
      <c r="JC39" s="7"/>
      <c r="JD39" s="7"/>
      <c r="JE39" s="7"/>
      <c r="JF39" s="7"/>
      <c r="JG39" s="7"/>
      <c r="JH39" s="7"/>
      <c r="JI39" s="7"/>
      <c r="JJ39" s="7"/>
      <c r="JK39" s="7"/>
      <c r="JL39" s="7"/>
      <c r="JM39" s="7"/>
      <c r="JN39" s="7"/>
      <c r="JO39" s="7"/>
      <c r="JP39" s="7"/>
      <c r="JQ39" s="7"/>
      <c r="JR39" s="7"/>
      <c r="JS39" s="7"/>
      <c r="JT39" s="7"/>
      <c r="JU39" s="7"/>
      <c r="JV39" s="7"/>
      <c r="JW39" s="7"/>
      <c r="JX39" s="7"/>
      <c r="JY39" s="7"/>
      <c r="JZ39" s="7"/>
      <c r="KA39" s="7"/>
      <c r="KB39" s="7"/>
      <c r="KC39" s="7"/>
      <c r="KD39" s="7"/>
      <c r="KE39" s="7"/>
      <c r="KF39" s="7"/>
      <c r="KG39" s="7"/>
      <c r="KH39" s="7"/>
      <c r="KI39" s="7"/>
      <c r="KJ39" s="7"/>
      <c r="KK39" s="7"/>
      <c r="KL39" s="7"/>
      <c r="KM39" s="7"/>
      <c r="KN39" s="7"/>
      <c r="KO39" s="7"/>
      <c r="KP39" s="7"/>
      <c r="KQ39" s="7"/>
      <c r="KR39" s="7"/>
      <c r="KS39" s="7"/>
      <c r="KT39" s="7"/>
      <c r="KU39" s="7"/>
      <c r="KV39" s="7"/>
      <c r="KW39" s="7"/>
      <c r="KX39" s="7"/>
      <c r="KY39" s="7"/>
      <c r="KZ39" s="7"/>
      <c r="LA39" s="7"/>
      <c r="LB39" s="7"/>
      <c r="LC39" s="7"/>
      <c r="LD39" s="7"/>
      <c r="LE39" s="7"/>
      <c r="LF39" s="7"/>
      <c r="LG39" s="7"/>
      <c r="LH39" s="7"/>
      <c r="LI39" s="7"/>
      <c r="LJ39" s="7"/>
      <c r="LK39" s="7"/>
      <c r="LL39" s="7"/>
      <c r="LM39" s="7"/>
      <c r="LN39" s="7"/>
      <c r="LO39" s="7"/>
      <c r="LP39" s="7"/>
      <c r="LQ39" s="7"/>
      <c r="LR39" s="7"/>
      <c r="LS39" s="7"/>
      <c r="LT39" s="7"/>
      <c r="LU39" s="7"/>
      <c r="LV39" s="7"/>
      <c r="LW39" s="7"/>
      <c r="LX39" s="7"/>
      <c r="LY39" s="7"/>
    </row>
    <row r="40" spans="29:337" x14ac:dyDescent="0.25">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c r="FF40" s="4"/>
      <c r="FG40" s="4"/>
      <c r="FH40" s="4"/>
      <c r="FI40" s="4"/>
      <c r="FJ40" s="4"/>
      <c r="FK40" s="4"/>
      <c r="FL40" s="4"/>
      <c r="FM40" s="4"/>
      <c r="FN40" s="4"/>
      <c r="FO40" s="4"/>
      <c r="FP40" s="4"/>
      <c r="FQ40" s="4"/>
      <c r="FR40" s="4"/>
      <c r="FS40" s="4"/>
      <c r="FT40" s="4"/>
      <c r="FU40" s="4"/>
      <c r="FV40" s="4"/>
      <c r="FW40" s="4"/>
      <c r="FX40" s="4"/>
      <c r="FY40" s="4"/>
      <c r="FZ40" s="4"/>
      <c r="GA40" s="4"/>
      <c r="GB40" s="4"/>
      <c r="GC40" s="4"/>
      <c r="GD40" s="4"/>
      <c r="GE40" s="4"/>
      <c r="GF40" s="4"/>
      <c r="GG40" s="4"/>
      <c r="GH40" s="4"/>
      <c r="GI40" s="4"/>
      <c r="GJ40" s="4"/>
      <c r="GK40" s="4"/>
      <c r="GL40" s="4"/>
      <c r="GM40" s="4"/>
      <c r="GN40" s="4"/>
      <c r="GO40" s="4"/>
      <c r="GP40" s="4"/>
      <c r="GQ40" s="4"/>
      <c r="GR40" s="4"/>
      <c r="GS40" s="4"/>
      <c r="GT40" s="4"/>
      <c r="GU40" s="4"/>
      <c r="GV40" s="4"/>
      <c r="GW40" s="4"/>
      <c r="GX40" s="4"/>
      <c r="GY40" s="4"/>
      <c r="GZ40" s="4"/>
      <c r="HA40" s="4"/>
      <c r="HB40" s="4"/>
      <c r="HC40" s="4"/>
      <c r="HD40" s="4"/>
      <c r="HE40" s="4"/>
      <c r="HF40" s="4"/>
      <c r="HG40" s="4"/>
      <c r="HH40" s="4"/>
      <c r="HI40" s="4"/>
      <c r="HJ40" s="4"/>
      <c r="HK40" s="4"/>
      <c r="HL40" s="4"/>
      <c r="HM40" s="4"/>
      <c r="HN40" s="4"/>
      <c r="HO40" s="4"/>
      <c r="HP40" s="4"/>
      <c r="HQ40" s="4"/>
      <c r="HR40" s="4"/>
      <c r="HS40" s="4"/>
      <c r="HT40" s="4"/>
      <c r="HU40" s="4"/>
      <c r="HV40" s="4"/>
      <c r="HW40" s="4"/>
      <c r="HX40" s="4"/>
      <c r="HY40" s="4"/>
      <c r="HZ40" s="4"/>
      <c r="IA40" s="4"/>
      <c r="IB40" s="4"/>
      <c r="IC40" s="4"/>
      <c r="ID40" s="4"/>
      <c r="IE40" s="4"/>
      <c r="IF40" s="4"/>
      <c r="IG40" s="4"/>
      <c r="IH40" s="4"/>
      <c r="II40" s="4"/>
      <c r="IJ40" s="4"/>
      <c r="IK40" s="4"/>
      <c r="IL40" s="4"/>
      <c r="IM40" s="4"/>
      <c r="IN40" s="4"/>
      <c r="IO40" s="4"/>
      <c r="IP40" s="4"/>
      <c r="IQ40" s="4"/>
      <c r="IR40" s="4"/>
      <c r="IS40" s="4"/>
      <c r="IT40" s="4"/>
      <c r="IU40" s="4"/>
      <c r="IV40" s="4"/>
      <c r="IW40" s="4"/>
      <c r="IX40" s="4"/>
      <c r="IY40" s="4"/>
      <c r="IZ40" s="4"/>
      <c r="JA40" s="4"/>
      <c r="JB40" s="4"/>
      <c r="JC40" s="4"/>
      <c r="JD40" s="4"/>
      <c r="JE40" s="4"/>
      <c r="JF40" s="4"/>
      <c r="JG40" s="4"/>
      <c r="JH40" s="4"/>
      <c r="JI40" s="4"/>
      <c r="JJ40" s="4"/>
      <c r="JK40" s="4"/>
      <c r="JL40" s="4"/>
      <c r="JM40" s="4"/>
      <c r="JN40" s="4"/>
      <c r="JO40" s="4"/>
      <c r="JP40" s="4"/>
      <c r="JQ40" s="4"/>
      <c r="JR40" s="4"/>
      <c r="JS40" s="4"/>
      <c r="JT40" s="4"/>
      <c r="JU40" s="4"/>
      <c r="JV40" s="4"/>
      <c r="JW40" s="4"/>
      <c r="JX40" s="4"/>
      <c r="JY40" s="4"/>
      <c r="JZ40" s="4"/>
      <c r="KA40" s="4"/>
      <c r="KB40" s="4"/>
      <c r="KC40" s="4"/>
      <c r="KD40" s="4"/>
      <c r="KE40" s="4"/>
      <c r="KF40" s="4"/>
      <c r="KG40" s="4"/>
      <c r="KH40" s="4"/>
      <c r="KI40" s="4"/>
      <c r="KJ40" s="4"/>
      <c r="KK40" s="4"/>
      <c r="KL40" s="4"/>
      <c r="KM40" s="4"/>
      <c r="KN40" s="4"/>
      <c r="KO40" s="4"/>
      <c r="KP40" s="4"/>
      <c r="KQ40" s="4"/>
      <c r="KR40" s="4"/>
      <c r="KS40" s="4"/>
      <c r="KT40" s="4"/>
      <c r="KU40" s="4"/>
      <c r="KV40" s="4"/>
      <c r="KW40" s="4"/>
      <c r="KX40" s="4"/>
      <c r="KY40" s="4"/>
      <c r="KZ40" s="4"/>
      <c r="LA40" s="4"/>
      <c r="LB40" s="4"/>
      <c r="LC40" s="4"/>
      <c r="LD40" s="4"/>
      <c r="LE40" s="4"/>
      <c r="LF40" s="4"/>
      <c r="LG40" s="4"/>
      <c r="LH40" s="4"/>
      <c r="LI40" s="4"/>
      <c r="LJ40" s="4"/>
      <c r="LK40" s="4"/>
      <c r="LL40" s="4"/>
      <c r="LM40" s="4"/>
      <c r="LN40" s="4"/>
      <c r="LO40" s="4"/>
      <c r="LP40" s="4"/>
      <c r="LQ40" s="4"/>
      <c r="LR40" s="4"/>
      <c r="LS40" s="4"/>
      <c r="LT40" s="4"/>
      <c r="LU40" s="4"/>
      <c r="LV40" s="4"/>
      <c r="LW40" s="4"/>
      <c r="LX40" s="4"/>
      <c r="LY40" s="4"/>
    </row>
    <row r="41" spans="29:337" x14ac:dyDescent="0.25">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c r="FF41" s="4"/>
      <c r="FG41" s="4"/>
      <c r="FH41" s="4"/>
      <c r="FI41" s="4"/>
      <c r="FJ41" s="4"/>
      <c r="FK41" s="4"/>
      <c r="FL41" s="4"/>
      <c r="FM41" s="4"/>
      <c r="FN41" s="4"/>
      <c r="FO41" s="4"/>
      <c r="FP41" s="4"/>
      <c r="FQ41" s="4"/>
      <c r="FR41" s="4"/>
      <c r="FS41" s="4"/>
      <c r="FT41" s="4"/>
      <c r="FU41" s="4"/>
      <c r="FV41" s="4"/>
      <c r="FW41" s="4"/>
      <c r="FX41" s="4"/>
      <c r="FY41" s="4"/>
      <c r="FZ41" s="4"/>
      <c r="GA41" s="4"/>
      <c r="GB41" s="4"/>
      <c r="GC41" s="4"/>
      <c r="GD41" s="4"/>
      <c r="GE41" s="4"/>
      <c r="GF41" s="4"/>
      <c r="GG41" s="4"/>
      <c r="GH41" s="4"/>
      <c r="GI41" s="4"/>
      <c r="GJ41" s="4"/>
      <c r="GK41" s="4"/>
      <c r="GL41" s="4"/>
      <c r="GM41" s="4"/>
      <c r="GN41" s="4"/>
      <c r="GO41" s="4"/>
      <c r="GP41" s="4"/>
      <c r="GQ41" s="4"/>
      <c r="GR41" s="4"/>
      <c r="GS41" s="4"/>
      <c r="GT41" s="4"/>
      <c r="GU41" s="4"/>
      <c r="GV41" s="4"/>
      <c r="GW41" s="4"/>
      <c r="GX41" s="4"/>
      <c r="GY41" s="4"/>
      <c r="GZ41" s="4"/>
      <c r="HA41" s="4"/>
      <c r="HB41" s="4"/>
      <c r="HC41" s="4"/>
      <c r="HD41" s="4"/>
      <c r="HE41" s="4"/>
      <c r="HF41" s="4"/>
      <c r="HG41" s="4"/>
      <c r="HH41" s="4"/>
      <c r="HI41" s="4"/>
      <c r="HJ41" s="4"/>
      <c r="HK41" s="4"/>
      <c r="HL41" s="4"/>
      <c r="HM41" s="4"/>
      <c r="HN41" s="4"/>
      <c r="HO41" s="4"/>
      <c r="HP41" s="4"/>
      <c r="HQ41" s="4"/>
      <c r="HR41" s="4"/>
      <c r="HS41" s="4"/>
      <c r="HT41" s="4"/>
      <c r="HU41" s="4"/>
      <c r="HV41" s="4"/>
      <c r="HW41" s="4"/>
      <c r="HX41" s="4"/>
      <c r="HY41" s="4"/>
      <c r="HZ41" s="4"/>
      <c r="IA41" s="4"/>
      <c r="IB41" s="4"/>
      <c r="IC41" s="4"/>
      <c r="ID41" s="4"/>
      <c r="IE41" s="4"/>
      <c r="IF41" s="4"/>
      <c r="IG41" s="4"/>
      <c r="IH41" s="4"/>
      <c r="II41" s="4"/>
      <c r="IJ41" s="4"/>
      <c r="IK41" s="4"/>
      <c r="IL41" s="4"/>
      <c r="IM41" s="4"/>
      <c r="IN41" s="4"/>
      <c r="IO41" s="4"/>
      <c r="IP41" s="4"/>
      <c r="IQ41" s="4"/>
      <c r="IR41" s="4"/>
      <c r="IS41" s="4"/>
      <c r="IT41" s="4"/>
      <c r="IU41" s="4"/>
      <c r="IV41" s="4"/>
      <c r="IW41" s="4"/>
      <c r="IX41" s="4"/>
      <c r="IY41" s="4"/>
      <c r="IZ41" s="4"/>
      <c r="JA41" s="4"/>
      <c r="JB41" s="4"/>
      <c r="JC41" s="4"/>
      <c r="JD41" s="4"/>
      <c r="JE41" s="4"/>
      <c r="JF41" s="4"/>
      <c r="JG41" s="4"/>
      <c r="JH41" s="4"/>
      <c r="JI41" s="4"/>
      <c r="JJ41" s="4"/>
      <c r="JK41" s="4"/>
      <c r="JL41" s="4"/>
      <c r="JM41" s="4"/>
      <c r="JN41" s="4"/>
      <c r="JO41" s="4"/>
      <c r="JP41" s="4"/>
      <c r="JQ41" s="4"/>
      <c r="JR41" s="4"/>
      <c r="JS41" s="4"/>
      <c r="JT41" s="4"/>
      <c r="JU41" s="4"/>
      <c r="JV41" s="4"/>
      <c r="JW41" s="4"/>
      <c r="JX41" s="4"/>
      <c r="JY41" s="4"/>
      <c r="JZ41" s="4"/>
      <c r="KA41" s="4"/>
      <c r="KB41" s="4"/>
      <c r="KC41" s="4"/>
      <c r="KD41" s="4"/>
      <c r="KE41" s="4"/>
      <c r="KF41" s="4"/>
      <c r="KG41" s="4"/>
      <c r="KH41" s="4"/>
      <c r="KI41" s="4"/>
      <c r="KJ41" s="4"/>
      <c r="KK41" s="4"/>
      <c r="KL41" s="4"/>
      <c r="KM41" s="4"/>
      <c r="KN41" s="4"/>
      <c r="KO41" s="4"/>
      <c r="KP41" s="4"/>
      <c r="KQ41" s="4"/>
      <c r="KR41" s="4"/>
      <c r="KS41" s="4"/>
      <c r="KT41" s="4"/>
      <c r="KU41" s="4"/>
      <c r="KV41" s="4"/>
      <c r="KW41" s="4"/>
      <c r="KX41" s="4"/>
      <c r="KY41" s="4"/>
      <c r="KZ41" s="4"/>
      <c r="LA41" s="4"/>
      <c r="LB41" s="4"/>
      <c r="LC41" s="4"/>
      <c r="LD41" s="4"/>
      <c r="LE41" s="4"/>
      <c r="LF41" s="4"/>
      <c r="LG41" s="4"/>
      <c r="LH41" s="4"/>
      <c r="LI41" s="4"/>
      <c r="LJ41" s="4"/>
      <c r="LK41" s="4"/>
      <c r="LL41" s="4"/>
      <c r="LM41" s="4"/>
      <c r="LN41" s="4"/>
      <c r="LO41" s="4"/>
      <c r="LP41" s="4"/>
      <c r="LQ41" s="4"/>
      <c r="LR41" s="4"/>
      <c r="LS41" s="4"/>
      <c r="LT41" s="4"/>
      <c r="LU41" s="4"/>
      <c r="LV41" s="4"/>
      <c r="LW41" s="4"/>
      <c r="LX41" s="4"/>
      <c r="LY41" s="4"/>
    </row>
    <row r="42" spans="29:337" x14ac:dyDescent="0.25">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c r="FF42" s="4"/>
      <c r="FG42" s="4"/>
      <c r="FH42" s="4"/>
      <c r="FI42" s="4"/>
      <c r="FJ42" s="4"/>
      <c r="FK42" s="4"/>
      <c r="FL42" s="4"/>
      <c r="FM42" s="4"/>
      <c r="FN42" s="4"/>
      <c r="FO42" s="4"/>
      <c r="FP42" s="4"/>
      <c r="FQ42" s="4"/>
      <c r="FR42" s="4"/>
      <c r="FS42" s="4"/>
      <c r="FT42" s="4"/>
      <c r="FU42" s="4"/>
      <c r="FV42" s="4"/>
      <c r="FW42" s="4"/>
      <c r="FX42" s="4"/>
      <c r="FY42" s="4"/>
      <c r="FZ42" s="4"/>
      <c r="GA42" s="4"/>
      <c r="GB42" s="4"/>
      <c r="GC42" s="4"/>
      <c r="GD42" s="4"/>
      <c r="GE42" s="4"/>
      <c r="GF42" s="4"/>
      <c r="GG42" s="4"/>
      <c r="GH42" s="4"/>
      <c r="GI42" s="4"/>
      <c r="GJ42" s="4"/>
      <c r="GK42" s="4"/>
      <c r="GL42" s="4"/>
      <c r="GM42" s="4"/>
      <c r="GN42" s="4"/>
      <c r="GO42" s="4"/>
      <c r="GP42" s="4"/>
      <c r="GQ42" s="4"/>
      <c r="GR42" s="4"/>
      <c r="GS42" s="4"/>
      <c r="GT42" s="4"/>
      <c r="GU42" s="4"/>
      <c r="GV42" s="4"/>
      <c r="GW42" s="4"/>
      <c r="GX42" s="4"/>
      <c r="GY42" s="4"/>
      <c r="GZ42" s="4"/>
      <c r="HA42" s="4"/>
      <c r="HB42" s="4"/>
      <c r="HC42" s="4"/>
      <c r="HD42" s="4"/>
      <c r="HE42" s="4"/>
      <c r="HF42" s="4"/>
      <c r="HG42" s="4"/>
      <c r="HH42" s="4"/>
      <c r="HI42" s="4"/>
      <c r="HJ42" s="4"/>
      <c r="HK42" s="4"/>
      <c r="HL42" s="4"/>
      <c r="HM42" s="4"/>
      <c r="HN42" s="4"/>
      <c r="HO42" s="4"/>
      <c r="HP42" s="4"/>
      <c r="HQ42" s="4"/>
      <c r="HR42" s="4"/>
      <c r="HS42" s="4"/>
      <c r="HT42" s="4"/>
      <c r="HU42" s="4"/>
      <c r="HV42" s="4"/>
      <c r="HW42" s="4"/>
      <c r="HX42" s="4"/>
      <c r="HY42" s="4"/>
      <c r="HZ42" s="4"/>
      <c r="IA42" s="4"/>
      <c r="IB42" s="4"/>
      <c r="IC42" s="4"/>
      <c r="ID42" s="4"/>
      <c r="IE42" s="4"/>
      <c r="IF42" s="4"/>
      <c r="IG42" s="4"/>
      <c r="IH42" s="4"/>
      <c r="II42" s="4"/>
      <c r="IJ42" s="4"/>
      <c r="IK42" s="4"/>
      <c r="IL42" s="4"/>
      <c r="IM42" s="4"/>
      <c r="IN42" s="4"/>
      <c r="IO42" s="4"/>
      <c r="IP42" s="4"/>
      <c r="IQ42" s="4"/>
      <c r="IR42" s="4"/>
      <c r="IS42" s="4"/>
      <c r="IT42" s="4"/>
      <c r="IU42" s="4"/>
      <c r="IV42" s="4"/>
      <c r="IW42" s="4"/>
      <c r="IX42" s="4"/>
      <c r="IY42" s="4"/>
      <c r="IZ42" s="4"/>
      <c r="JA42" s="4"/>
      <c r="JB42" s="4"/>
      <c r="JC42" s="4"/>
      <c r="JD42" s="4"/>
      <c r="JE42" s="4"/>
      <c r="JF42" s="4"/>
      <c r="JG42" s="4"/>
      <c r="JH42" s="4"/>
      <c r="JI42" s="4"/>
      <c r="JJ42" s="4"/>
      <c r="JK42" s="4"/>
      <c r="JL42" s="4"/>
      <c r="JM42" s="4"/>
      <c r="JN42" s="4"/>
      <c r="JO42" s="4"/>
      <c r="JP42" s="4"/>
      <c r="JQ42" s="4"/>
      <c r="JR42" s="4"/>
      <c r="JS42" s="4"/>
      <c r="JT42" s="4"/>
      <c r="JU42" s="4"/>
      <c r="JV42" s="4"/>
      <c r="JW42" s="4"/>
      <c r="JX42" s="4"/>
      <c r="JY42" s="4"/>
      <c r="JZ42" s="4"/>
      <c r="KA42" s="4"/>
      <c r="KB42" s="4"/>
      <c r="KC42" s="4"/>
      <c r="KD42" s="4"/>
      <c r="KE42" s="4"/>
      <c r="KF42" s="4"/>
      <c r="KG42" s="4"/>
      <c r="KH42" s="4"/>
      <c r="KI42" s="4"/>
      <c r="KJ42" s="4"/>
      <c r="KK42" s="4"/>
      <c r="KL42" s="4"/>
      <c r="KM42" s="4"/>
      <c r="KN42" s="4"/>
      <c r="KO42" s="4"/>
      <c r="KP42" s="4"/>
      <c r="KQ42" s="4"/>
      <c r="KR42" s="4"/>
      <c r="KS42" s="4"/>
      <c r="KT42" s="4"/>
      <c r="KU42" s="4"/>
      <c r="KV42" s="4"/>
      <c r="KW42" s="4"/>
      <c r="KX42" s="4"/>
      <c r="KY42" s="4"/>
      <c r="KZ42" s="4"/>
      <c r="LA42" s="4"/>
      <c r="LB42" s="4"/>
      <c r="LC42" s="4"/>
      <c r="LD42" s="4"/>
      <c r="LE42" s="4"/>
      <c r="LF42" s="4"/>
      <c r="LG42" s="4"/>
      <c r="LH42" s="4"/>
      <c r="LI42" s="4"/>
      <c r="LJ42" s="4"/>
      <c r="LK42" s="4"/>
      <c r="LL42" s="4"/>
      <c r="LM42" s="4"/>
      <c r="LN42" s="4"/>
      <c r="LO42" s="4"/>
      <c r="LP42" s="4"/>
      <c r="LQ42" s="4"/>
      <c r="LR42" s="4"/>
      <c r="LS42" s="4"/>
      <c r="LT42" s="4"/>
      <c r="LU42" s="4"/>
      <c r="LV42" s="4"/>
      <c r="LW42" s="4"/>
      <c r="LX42" s="4"/>
      <c r="LY42" s="4"/>
    </row>
    <row r="43" spans="29:337" x14ac:dyDescent="0.25">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c r="FF43" s="4"/>
      <c r="FG43" s="4"/>
      <c r="FH43" s="4"/>
      <c r="FI43" s="4"/>
      <c r="FJ43" s="4"/>
      <c r="FK43" s="4"/>
      <c r="FL43" s="4"/>
      <c r="FM43" s="4"/>
      <c r="FN43" s="4"/>
      <c r="FO43" s="4"/>
      <c r="FP43" s="4"/>
      <c r="FQ43" s="4"/>
      <c r="FR43" s="4"/>
      <c r="FS43" s="4"/>
      <c r="FT43" s="4"/>
      <c r="FU43" s="4"/>
      <c r="FV43" s="4"/>
      <c r="FW43" s="4"/>
      <c r="FX43" s="4"/>
      <c r="FY43" s="4"/>
      <c r="FZ43" s="4"/>
      <c r="GA43" s="4"/>
      <c r="GB43" s="4"/>
      <c r="GC43" s="4"/>
      <c r="GD43" s="4"/>
      <c r="GE43" s="4"/>
      <c r="GF43" s="4"/>
      <c r="GG43" s="4"/>
      <c r="GH43" s="4"/>
      <c r="GI43" s="4"/>
      <c r="GJ43" s="4"/>
      <c r="GK43" s="4"/>
      <c r="GL43" s="4"/>
      <c r="GM43" s="4"/>
      <c r="GN43" s="4"/>
      <c r="GO43" s="4"/>
      <c r="GP43" s="4"/>
      <c r="GQ43" s="4"/>
      <c r="GR43" s="4"/>
      <c r="GS43" s="4"/>
      <c r="GT43" s="4"/>
      <c r="GU43" s="4"/>
      <c r="GV43" s="4"/>
      <c r="GW43" s="4"/>
      <c r="GX43" s="4"/>
      <c r="GY43" s="4"/>
      <c r="GZ43" s="4"/>
      <c r="HA43" s="4"/>
      <c r="HB43" s="4"/>
      <c r="HC43" s="4"/>
      <c r="HD43" s="4"/>
      <c r="HE43" s="4"/>
      <c r="HF43" s="4"/>
      <c r="HG43" s="4"/>
      <c r="HH43" s="4"/>
      <c r="HI43" s="4"/>
      <c r="HJ43" s="4"/>
      <c r="HK43" s="4"/>
      <c r="HL43" s="4"/>
      <c r="HM43" s="4"/>
      <c r="HN43" s="4"/>
      <c r="HO43" s="4"/>
      <c r="HP43" s="4"/>
      <c r="HQ43" s="4"/>
      <c r="HR43" s="4"/>
      <c r="HS43" s="4"/>
      <c r="HT43" s="4"/>
      <c r="HU43" s="4"/>
      <c r="HV43" s="4"/>
      <c r="HW43" s="4"/>
      <c r="HX43" s="4"/>
      <c r="HY43" s="4"/>
      <c r="HZ43" s="4"/>
      <c r="IA43" s="4"/>
      <c r="IB43" s="4"/>
      <c r="IC43" s="4"/>
      <c r="ID43" s="4"/>
      <c r="IE43" s="4"/>
      <c r="IF43" s="4"/>
      <c r="IG43" s="4"/>
      <c r="IH43" s="4"/>
      <c r="II43" s="4"/>
      <c r="IJ43" s="4"/>
      <c r="IK43" s="4"/>
      <c r="IL43" s="4"/>
      <c r="IM43" s="4"/>
      <c r="IN43" s="4"/>
      <c r="IO43" s="4"/>
      <c r="IP43" s="4"/>
      <c r="IQ43" s="4"/>
      <c r="IR43" s="4"/>
      <c r="IS43" s="4"/>
      <c r="IT43" s="4"/>
      <c r="IU43" s="4"/>
      <c r="IV43" s="4"/>
      <c r="IW43" s="4"/>
      <c r="IX43" s="4"/>
      <c r="IY43" s="4"/>
      <c r="IZ43" s="4"/>
      <c r="JA43" s="4"/>
      <c r="JB43" s="4"/>
      <c r="JC43" s="4"/>
      <c r="JD43" s="4"/>
      <c r="JE43" s="4"/>
      <c r="JF43" s="4"/>
      <c r="JG43" s="4"/>
      <c r="JH43" s="4"/>
      <c r="JI43" s="4"/>
      <c r="JJ43" s="4"/>
      <c r="JK43" s="4"/>
      <c r="JL43" s="4"/>
      <c r="JM43" s="4"/>
      <c r="JN43" s="4"/>
      <c r="JO43" s="4"/>
      <c r="JP43" s="4"/>
      <c r="JQ43" s="4"/>
      <c r="JR43" s="4"/>
      <c r="JS43" s="4"/>
      <c r="JT43" s="4"/>
      <c r="JU43" s="4"/>
      <c r="JV43" s="4"/>
      <c r="JW43" s="4"/>
      <c r="JX43" s="4"/>
      <c r="JY43" s="4"/>
      <c r="JZ43" s="4"/>
      <c r="KA43" s="4"/>
      <c r="KB43" s="4"/>
      <c r="KC43" s="4"/>
      <c r="KD43" s="4"/>
      <c r="KE43" s="4"/>
      <c r="KF43" s="4"/>
      <c r="KG43" s="4"/>
      <c r="KH43" s="4"/>
      <c r="KI43" s="4"/>
      <c r="KJ43" s="4"/>
      <c r="KK43" s="4"/>
      <c r="KL43" s="4"/>
      <c r="KM43" s="4"/>
      <c r="KN43" s="4"/>
      <c r="KO43" s="4"/>
      <c r="KP43" s="4"/>
      <c r="KQ43" s="4"/>
      <c r="KR43" s="4"/>
      <c r="KS43" s="4"/>
      <c r="KT43" s="4"/>
      <c r="KU43" s="4"/>
      <c r="KV43" s="4"/>
      <c r="KW43" s="4"/>
      <c r="KX43" s="4"/>
      <c r="KY43" s="4"/>
      <c r="KZ43" s="4"/>
      <c r="LA43" s="4"/>
      <c r="LB43" s="4"/>
      <c r="LC43" s="4"/>
      <c r="LD43" s="4"/>
      <c r="LE43" s="4"/>
      <c r="LF43" s="4"/>
      <c r="LG43" s="4"/>
      <c r="LH43" s="4"/>
      <c r="LI43" s="4"/>
      <c r="LJ43" s="4"/>
      <c r="LK43" s="4"/>
      <c r="LL43" s="4"/>
      <c r="LM43" s="4"/>
      <c r="LN43" s="4"/>
      <c r="LO43" s="4"/>
      <c r="LP43" s="4"/>
      <c r="LQ43" s="4"/>
      <c r="LR43" s="4"/>
      <c r="LS43" s="4"/>
      <c r="LT43" s="4"/>
      <c r="LU43" s="4"/>
      <c r="LV43" s="4"/>
      <c r="LW43" s="4"/>
      <c r="LX43" s="4"/>
      <c r="LY43" s="4"/>
    </row>
  </sheetData>
  <dataConsolidate/>
  <mergeCells count="13">
    <mergeCell ref="A1:XFD1"/>
    <mergeCell ref="A3:K3"/>
    <mergeCell ref="B13:C13"/>
    <mergeCell ref="A5:A6"/>
    <mergeCell ref="B5:C6"/>
    <mergeCell ref="G5:K5"/>
    <mergeCell ref="D5:E5"/>
    <mergeCell ref="B12:C12"/>
    <mergeCell ref="B9:C9"/>
    <mergeCell ref="B8:C8"/>
    <mergeCell ref="B7:C7"/>
    <mergeCell ref="B11:C11"/>
    <mergeCell ref="B10:C10"/>
  </mergeCells>
  <conditionalFormatting sqref="F7:F12">
    <cfRule type="cellIs" dxfId="24" priority="1" operator="equal">
      <formula>0</formula>
    </cfRule>
    <cfRule type="cellIs" dxfId="23" priority="4" operator="lessThan">
      <formula>1</formula>
    </cfRule>
    <cfRule type="cellIs" dxfId="22" priority="5" operator="greaterThanOrEqual">
      <formula>1</formula>
    </cfRule>
  </conditionalFormatting>
  <pageMargins left="0.75" right="0.75" top="1" bottom="1" header="0.5" footer="0.5"/>
  <pageSetup scale="4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ValuesStakeholder">
                <anchor moveWithCells="1" sizeWithCells="1">
                  <from>
                    <xdr:col>0</xdr:col>
                    <xdr:colOff>0</xdr:colOff>
                    <xdr:row>3</xdr:row>
                    <xdr:rowOff>7620</xdr:rowOff>
                  </from>
                  <to>
                    <xdr:col>0</xdr:col>
                    <xdr:colOff>2514600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sheetPr>
  <dimension ref="A1:MG13"/>
  <sheetViews>
    <sheetView showGridLines="0" zoomScale="50" zoomScaleNormal="50" workbookViewId="0">
      <pane xSplit="11" ySplit="6" topLeftCell="L7" activePane="bottomRight" state="frozen"/>
      <selection pane="topRight" activeCell="L1" sqref="L1"/>
      <selection pane="bottomLeft" activeCell="A4" sqref="A4"/>
      <selection pane="bottomRight" activeCell="E7" sqref="E7"/>
    </sheetView>
  </sheetViews>
  <sheetFormatPr defaultRowHeight="14.4" x14ac:dyDescent="0.3"/>
  <cols>
    <col min="1" max="1" width="30.44140625" customWidth="1"/>
    <col min="2" max="3" width="18.44140625" customWidth="1"/>
    <col min="4" max="6" width="18.44140625" style="2" customWidth="1"/>
    <col min="7" max="11" width="21.6640625" customWidth="1"/>
    <col min="12" max="12" width="15.44140625" customWidth="1"/>
    <col min="13" max="15" width="9.109375" customWidth="1"/>
    <col min="16" max="16" width="5.88671875" customWidth="1"/>
  </cols>
  <sheetData>
    <row r="1" spans="1:345" s="107" customFormat="1" ht="71.25" customHeight="1" x14ac:dyDescent="0.5"/>
    <row r="2" spans="1:345" s="2" customFormat="1" ht="20.25" customHeight="1" x14ac:dyDescent="0.5">
      <c r="A2" s="72" t="s">
        <v>184</v>
      </c>
      <c r="B2" s="73"/>
      <c r="C2" s="74"/>
      <c r="D2" s="74"/>
      <c r="E2" s="74"/>
      <c r="F2" s="74"/>
      <c r="G2" s="74"/>
      <c r="H2" s="74"/>
      <c r="I2" s="74"/>
      <c r="J2" s="74"/>
      <c r="K2" s="74"/>
    </row>
    <row r="3" spans="1:345" s="2" customFormat="1" ht="27" customHeight="1" x14ac:dyDescent="0.3">
      <c r="A3" s="159" t="s">
        <v>180</v>
      </c>
      <c r="B3" s="160"/>
      <c r="C3" s="160"/>
      <c r="D3" s="160"/>
      <c r="E3" s="160"/>
      <c r="F3" s="160"/>
      <c r="G3" s="160"/>
      <c r="H3" s="160"/>
      <c r="I3" s="160"/>
      <c r="J3" s="160"/>
      <c r="K3" s="161"/>
    </row>
    <row r="4" spans="1:345" s="78" customFormat="1" ht="41.25" customHeight="1" x14ac:dyDescent="0.5">
      <c r="A4" s="84"/>
      <c r="B4" s="86" t="s">
        <v>190</v>
      </c>
      <c r="C4" s="85"/>
      <c r="D4" s="85"/>
      <c r="E4" s="85"/>
      <c r="F4" s="85"/>
      <c r="G4" s="85"/>
      <c r="H4" s="85"/>
      <c r="I4" s="85"/>
      <c r="J4" s="85"/>
      <c r="K4" s="85"/>
    </row>
    <row r="5" spans="1:345" s="17" customFormat="1" ht="21" x14ac:dyDescent="0.4">
      <c r="A5" s="167" t="s">
        <v>117</v>
      </c>
      <c r="B5" s="169" t="s">
        <v>8</v>
      </c>
      <c r="C5" s="170"/>
      <c r="D5" s="173" t="s">
        <v>4</v>
      </c>
      <c r="E5" s="174"/>
      <c r="F5" s="55" t="s">
        <v>5</v>
      </c>
      <c r="G5" s="146" t="s">
        <v>4</v>
      </c>
      <c r="H5" s="147"/>
      <c r="I5" s="147"/>
      <c r="J5" s="147"/>
      <c r="K5" s="148"/>
      <c r="L5" s="33"/>
      <c r="M5" s="33"/>
      <c r="N5" s="33"/>
      <c r="O5" s="33"/>
      <c r="P5" s="33"/>
      <c r="Q5" s="19"/>
      <c r="R5" s="19"/>
      <c r="S5" s="19"/>
      <c r="T5" s="19"/>
      <c r="U5" s="19"/>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c r="HU5" s="18"/>
      <c r="HV5" s="18"/>
      <c r="HW5" s="18"/>
      <c r="HX5" s="18"/>
      <c r="HY5" s="18"/>
      <c r="HZ5" s="18"/>
      <c r="IA5" s="18"/>
      <c r="IB5" s="18"/>
      <c r="IC5" s="18"/>
      <c r="ID5" s="18"/>
      <c r="IE5" s="18"/>
      <c r="IF5" s="18"/>
      <c r="IG5" s="18"/>
      <c r="IH5" s="18"/>
      <c r="II5" s="18"/>
      <c r="IJ5" s="18"/>
      <c r="IK5" s="18"/>
      <c r="IL5" s="18"/>
      <c r="IM5" s="18"/>
      <c r="IN5" s="18"/>
      <c r="IO5" s="18"/>
      <c r="IP5" s="18"/>
      <c r="IQ5" s="18"/>
      <c r="IR5" s="18"/>
      <c r="IS5" s="18"/>
      <c r="IT5" s="18"/>
      <c r="IU5" s="18"/>
      <c r="IV5" s="18"/>
      <c r="IW5" s="18"/>
      <c r="IX5" s="18"/>
      <c r="IY5" s="18"/>
      <c r="IZ5" s="18"/>
      <c r="JA5" s="18"/>
      <c r="JB5" s="18"/>
      <c r="JC5" s="18"/>
      <c r="JD5" s="18"/>
      <c r="JE5" s="18"/>
      <c r="JF5" s="18"/>
      <c r="JG5" s="18"/>
      <c r="JH5" s="18"/>
      <c r="JI5" s="18"/>
      <c r="JJ5" s="18"/>
      <c r="JK5" s="18"/>
      <c r="JL5" s="18"/>
      <c r="JM5" s="18"/>
      <c r="JN5" s="18"/>
      <c r="JO5" s="18"/>
      <c r="JP5" s="18"/>
      <c r="JQ5" s="18"/>
      <c r="JR5" s="18"/>
      <c r="JS5" s="18"/>
      <c r="JT5" s="18"/>
      <c r="JU5" s="18"/>
      <c r="JV5" s="18"/>
      <c r="JW5" s="18"/>
      <c r="JX5" s="18"/>
      <c r="JY5" s="18"/>
      <c r="JZ5" s="18"/>
      <c r="KA5" s="18"/>
      <c r="KB5" s="18"/>
      <c r="KC5" s="18"/>
      <c r="KD5" s="18"/>
      <c r="KE5" s="18"/>
      <c r="KF5" s="18"/>
      <c r="KG5" s="18"/>
      <c r="KH5" s="18"/>
      <c r="KI5" s="18"/>
      <c r="KJ5" s="18"/>
      <c r="KK5" s="18"/>
      <c r="KL5" s="18"/>
      <c r="KM5" s="18"/>
      <c r="KN5" s="18"/>
      <c r="KO5" s="18"/>
      <c r="KP5" s="18"/>
      <c r="KQ5" s="18"/>
      <c r="KR5" s="18"/>
      <c r="KS5" s="18"/>
      <c r="KT5" s="18"/>
      <c r="KU5" s="18"/>
      <c r="KV5" s="18"/>
      <c r="KW5" s="18"/>
      <c r="KX5" s="18"/>
      <c r="KY5" s="18"/>
      <c r="KZ5" s="18"/>
      <c r="LA5" s="18"/>
      <c r="LB5" s="18"/>
      <c r="LC5" s="18"/>
      <c r="LD5" s="18"/>
      <c r="LE5" s="18"/>
      <c r="LF5" s="18"/>
      <c r="LG5" s="18"/>
      <c r="LH5" s="18"/>
      <c r="LI5" s="18"/>
      <c r="LJ5" s="18"/>
      <c r="LK5" s="18"/>
      <c r="LL5" s="18"/>
      <c r="LM5" s="18"/>
      <c r="LN5" s="18"/>
      <c r="LO5" s="18"/>
      <c r="LP5" s="18"/>
      <c r="LQ5" s="18"/>
      <c r="LR5" s="18"/>
      <c r="LS5" s="18"/>
      <c r="LT5" s="18"/>
      <c r="LU5" s="18"/>
      <c r="LV5" s="18"/>
      <c r="LW5" s="18"/>
      <c r="LX5" s="18"/>
      <c r="LY5" s="18"/>
      <c r="LZ5" s="18"/>
      <c r="MA5" s="18"/>
      <c r="MB5" s="18"/>
      <c r="MC5" s="18"/>
      <c r="MD5" s="18"/>
      <c r="ME5" s="18"/>
      <c r="MF5" s="18"/>
    </row>
    <row r="6" spans="1:345" s="10" customFormat="1" ht="15.6" x14ac:dyDescent="0.3">
      <c r="A6" s="168"/>
      <c r="B6" s="171"/>
      <c r="C6" s="172"/>
      <c r="D6" s="46" t="s">
        <v>116</v>
      </c>
      <c r="E6" s="46" t="s">
        <v>6</v>
      </c>
      <c r="F6" s="49" t="s">
        <v>183</v>
      </c>
      <c r="G6" s="56">
        <v>1</v>
      </c>
      <c r="H6" s="56">
        <v>2</v>
      </c>
      <c r="I6" s="56">
        <v>3</v>
      </c>
      <c r="J6" s="56">
        <v>4</v>
      </c>
      <c r="K6" s="56">
        <v>5</v>
      </c>
      <c r="L6" s="20"/>
      <c r="M6" s="20"/>
      <c r="N6" s="20"/>
      <c r="O6" s="20"/>
      <c r="P6" s="20"/>
      <c r="Q6" s="20"/>
      <c r="R6" s="20"/>
      <c r="S6" s="20"/>
      <c r="T6" s="20"/>
      <c r="U6" s="20"/>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B6" s="9"/>
      <c r="JC6" s="9"/>
      <c r="JD6" s="9"/>
      <c r="JE6" s="9"/>
      <c r="JF6" s="9"/>
      <c r="JG6" s="9"/>
      <c r="JH6" s="9"/>
      <c r="JI6" s="9"/>
      <c r="JJ6" s="9"/>
      <c r="JK6" s="9"/>
      <c r="JL6" s="9"/>
      <c r="JM6" s="9"/>
      <c r="JN6" s="9"/>
      <c r="JO6" s="9"/>
      <c r="JP6" s="9"/>
      <c r="JQ6" s="9"/>
      <c r="JR6" s="9"/>
      <c r="JS6" s="9"/>
      <c r="JT6" s="9"/>
      <c r="JU6" s="9"/>
      <c r="JV6" s="9"/>
      <c r="JW6" s="9"/>
      <c r="JX6" s="9"/>
      <c r="JY6" s="9"/>
      <c r="JZ6" s="9"/>
      <c r="KA6" s="9"/>
      <c r="KB6" s="9"/>
      <c r="KC6" s="9"/>
      <c r="KD6" s="9"/>
      <c r="KE6" s="9"/>
      <c r="KF6" s="9"/>
      <c r="KG6" s="9"/>
      <c r="KH6" s="9"/>
      <c r="KI6" s="9"/>
      <c r="KJ6" s="9"/>
      <c r="KK6" s="9"/>
      <c r="KL6" s="9"/>
      <c r="KM6" s="9"/>
      <c r="KN6" s="9"/>
      <c r="KO6" s="9"/>
      <c r="KP6" s="9"/>
      <c r="KQ6" s="9"/>
      <c r="KR6" s="9"/>
      <c r="KS6" s="9"/>
      <c r="KT6" s="9"/>
      <c r="KU6" s="9"/>
      <c r="KV6" s="9"/>
      <c r="KW6" s="9"/>
      <c r="KX6" s="9"/>
      <c r="KY6" s="9"/>
      <c r="KZ6" s="9"/>
      <c r="LA6" s="9"/>
      <c r="LB6" s="9"/>
      <c r="LC6" s="9"/>
      <c r="LD6" s="9"/>
      <c r="LE6" s="9"/>
      <c r="LF6" s="9"/>
      <c r="LG6" s="9"/>
      <c r="LH6" s="9"/>
      <c r="LI6" s="9"/>
      <c r="LJ6" s="9"/>
      <c r="LK6" s="9"/>
      <c r="LL6" s="9"/>
      <c r="LM6" s="9"/>
      <c r="LN6" s="9"/>
      <c r="LO6" s="9"/>
      <c r="LP6" s="9"/>
      <c r="LQ6" s="9"/>
      <c r="LR6" s="9"/>
      <c r="LS6" s="9"/>
      <c r="LT6" s="9"/>
      <c r="LU6" s="9"/>
      <c r="LV6" s="9"/>
      <c r="LW6" s="9"/>
      <c r="LX6" s="9"/>
      <c r="LY6" s="9"/>
      <c r="LZ6" s="9"/>
      <c r="MA6" s="9"/>
      <c r="MB6" s="9"/>
      <c r="MC6" s="9"/>
      <c r="MD6" s="9"/>
      <c r="ME6" s="9"/>
      <c r="MF6" s="9"/>
      <c r="MG6" s="8"/>
    </row>
    <row r="7" spans="1:345" s="10" customFormat="1" ht="140.25" customHeight="1" x14ac:dyDescent="0.25">
      <c r="A7" s="102" t="s">
        <v>8</v>
      </c>
      <c r="B7" s="153" t="s">
        <v>181</v>
      </c>
      <c r="C7" s="154"/>
      <c r="D7" s="39">
        <v>5</v>
      </c>
      <c r="E7" s="39"/>
      <c r="F7" s="90">
        <f>IF((E7/D7)&gt;1, 1, (E7/D7))</f>
        <v>0</v>
      </c>
      <c r="G7" s="93" t="s">
        <v>39</v>
      </c>
      <c r="H7" s="93" t="s">
        <v>104</v>
      </c>
      <c r="I7" s="93" t="s">
        <v>150</v>
      </c>
      <c r="J7" s="93" t="s">
        <v>105</v>
      </c>
      <c r="K7" s="93" t="s">
        <v>56</v>
      </c>
      <c r="L7" s="30"/>
      <c r="M7" s="31"/>
      <c r="N7" s="31"/>
      <c r="O7" s="31"/>
      <c r="P7" s="31"/>
      <c r="Q7" s="20"/>
      <c r="R7" s="20"/>
      <c r="S7" s="20"/>
      <c r="T7" s="20"/>
      <c r="U7" s="20"/>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11"/>
      <c r="BI7" s="12"/>
    </row>
    <row r="8" spans="1:345" s="10" customFormat="1" ht="128.25" customHeight="1" x14ac:dyDescent="0.25">
      <c r="A8" s="89" t="s">
        <v>13</v>
      </c>
      <c r="B8" s="153" t="s">
        <v>138</v>
      </c>
      <c r="C8" s="154"/>
      <c r="D8" s="39">
        <v>3</v>
      </c>
      <c r="E8" s="39"/>
      <c r="F8" s="90">
        <f t="shared" ref="F8:F11" si="0">IF((E8/D8)&gt;1, 1, (E8/D8))</f>
        <v>0</v>
      </c>
      <c r="G8" s="93" t="s">
        <v>69</v>
      </c>
      <c r="H8" s="93" t="s">
        <v>71</v>
      </c>
      <c r="I8" s="93" t="s">
        <v>72</v>
      </c>
      <c r="J8" s="93" t="s">
        <v>73</v>
      </c>
      <c r="K8" s="93" t="s">
        <v>74</v>
      </c>
      <c r="L8" s="30"/>
      <c r="M8" s="31"/>
      <c r="N8" s="31"/>
      <c r="O8" s="31"/>
      <c r="P8" s="31"/>
      <c r="Q8" s="20"/>
      <c r="R8" s="20"/>
      <c r="S8" s="20"/>
      <c r="T8" s="20"/>
      <c r="U8" s="20"/>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11"/>
      <c r="BI8" s="12"/>
    </row>
    <row r="9" spans="1:345" s="10" customFormat="1" ht="142.5" customHeight="1" x14ac:dyDescent="0.25">
      <c r="A9" s="89" t="s">
        <v>9</v>
      </c>
      <c r="B9" s="153" t="s">
        <v>139</v>
      </c>
      <c r="C9" s="154"/>
      <c r="D9" s="39">
        <v>2</v>
      </c>
      <c r="E9" s="39"/>
      <c r="F9" s="90">
        <f t="shared" si="0"/>
        <v>0</v>
      </c>
      <c r="G9" s="93" t="s">
        <v>40</v>
      </c>
      <c r="H9" s="93" t="s">
        <v>70</v>
      </c>
      <c r="I9" s="93" t="s">
        <v>106</v>
      </c>
      <c r="J9" s="93" t="s">
        <v>107</v>
      </c>
      <c r="K9" s="93" t="s">
        <v>41</v>
      </c>
      <c r="L9" s="31"/>
      <c r="M9" s="31"/>
      <c r="N9" s="31"/>
      <c r="O9" s="31"/>
      <c r="P9" s="31"/>
      <c r="Q9" s="20"/>
      <c r="R9" s="20"/>
      <c r="S9" s="20"/>
      <c r="T9" s="20"/>
      <c r="U9" s="20"/>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8"/>
    </row>
    <row r="10" spans="1:345" s="10" customFormat="1" ht="125.25" customHeight="1" x14ac:dyDescent="0.3">
      <c r="A10" s="89" t="s">
        <v>19</v>
      </c>
      <c r="B10" s="153" t="s">
        <v>140</v>
      </c>
      <c r="C10" s="154"/>
      <c r="D10" s="39">
        <v>2</v>
      </c>
      <c r="E10" s="39"/>
      <c r="F10" s="90">
        <f t="shared" si="0"/>
        <v>0</v>
      </c>
      <c r="G10" s="93" t="s">
        <v>44</v>
      </c>
      <c r="H10" s="100" t="s">
        <v>75</v>
      </c>
      <c r="I10" s="100" t="s">
        <v>76</v>
      </c>
      <c r="J10" s="101" t="s">
        <v>77</v>
      </c>
      <c r="K10" s="93" t="s">
        <v>45</v>
      </c>
      <c r="L10" s="31"/>
      <c r="M10" s="31"/>
      <c r="N10" s="31"/>
      <c r="O10" s="31"/>
      <c r="P10" s="31"/>
      <c r="Q10" s="20"/>
      <c r="R10" s="20"/>
      <c r="S10" s="20"/>
      <c r="T10" s="20"/>
      <c r="U10" s="20"/>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row>
    <row r="11" spans="1:345" s="10" customFormat="1" ht="89.25" customHeight="1" x14ac:dyDescent="0.3">
      <c r="A11" s="89" t="s">
        <v>128</v>
      </c>
      <c r="B11" s="153" t="s">
        <v>141</v>
      </c>
      <c r="C11" s="154"/>
      <c r="D11" s="39">
        <v>3</v>
      </c>
      <c r="E11" s="39"/>
      <c r="F11" s="90">
        <f t="shared" si="0"/>
        <v>0</v>
      </c>
      <c r="G11" s="93" t="s">
        <v>42</v>
      </c>
      <c r="H11" s="93" t="s">
        <v>78</v>
      </c>
      <c r="I11" s="93" t="s">
        <v>79</v>
      </c>
      <c r="J11" s="93" t="s">
        <v>80</v>
      </c>
      <c r="K11" s="93" t="s">
        <v>43</v>
      </c>
      <c r="L11" s="31"/>
      <c r="M11" s="31"/>
      <c r="N11" s="31"/>
      <c r="O11" s="31"/>
      <c r="P11" s="31"/>
      <c r="Q11" s="20"/>
      <c r="R11" s="20"/>
      <c r="S11" s="20"/>
      <c r="T11" s="20"/>
      <c r="U11" s="20"/>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row>
    <row r="12" spans="1:345" s="14" customFormat="1" ht="15.75" hidden="1" x14ac:dyDescent="0.25">
      <c r="A12" s="22"/>
      <c r="B12" s="151" t="s">
        <v>3</v>
      </c>
      <c r="C12" s="152"/>
      <c r="D12" s="40">
        <f>SUM(D7:D11)</f>
        <v>15</v>
      </c>
      <c r="E12" s="40">
        <f>SUM(IF(E7&gt;D7,D7,E7),IF(E8&gt;D8,D8,E8),IF(E9&gt;D9,D9,E9),IF(E10&gt;D10,D10,E10), IF(E11&gt;D11,D11,E11))</f>
        <v>0</v>
      </c>
      <c r="F12" s="51">
        <f>AVERAGE(F7:F11)</f>
        <v>0</v>
      </c>
      <c r="G12" s="32"/>
      <c r="H12" s="32"/>
      <c r="I12" s="32"/>
      <c r="J12" s="32"/>
      <c r="K12" s="32"/>
      <c r="L12" s="31"/>
      <c r="M12" s="31"/>
      <c r="N12" s="31"/>
      <c r="O12" s="31"/>
      <c r="P12" s="31"/>
      <c r="Q12" s="20"/>
      <c r="R12" s="20"/>
      <c r="S12" s="20"/>
      <c r="T12" s="20"/>
      <c r="U12" s="20"/>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row>
    <row r="13" spans="1:345" s="14" customFormat="1" ht="13.2" x14ac:dyDescent="0.25">
      <c r="A13" s="22"/>
      <c r="B13" s="32"/>
      <c r="C13" s="32"/>
      <c r="D13" s="32"/>
      <c r="E13" s="32"/>
      <c r="F13" s="32"/>
      <c r="G13" s="32"/>
      <c r="H13" s="32"/>
      <c r="I13" s="32"/>
      <c r="J13" s="32"/>
      <c r="K13" s="32"/>
      <c r="L13" s="32"/>
      <c r="M13" s="32"/>
      <c r="N13" s="32"/>
      <c r="O13" s="32"/>
      <c r="P13" s="32"/>
      <c r="Q13" s="22"/>
      <c r="R13" s="22"/>
      <c r="S13" s="22"/>
      <c r="T13" s="22"/>
      <c r="U13" s="22"/>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row>
  </sheetData>
  <mergeCells count="12">
    <mergeCell ref="A1:XFD1"/>
    <mergeCell ref="A3:K3"/>
    <mergeCell ref="B12:C12"/>
    <mergeCell ref="A5:A6"/>
    <mergeCell ref="B5:C6"/>
    <mergeCell ref="G5:K5"/>
    <mergeCell ref="D5:E5"/>
    <mergeCell ref="B11:C11"/>
    <mergeCell ref="B10:C10"/>
    <mergeCell ref="B9:C9"/>
    <mergeCell ref="B8:C8"/>
    <mergeCell ref="B7:C7"/>
  </mergeCells>
  <conditionalFormatting sqref="H8:J8">
    <cfRule type="expression" dxfId="21" priority="84" stopIfTrue="1">
      <formula>IF($U8="Yes",1,0)</formula>
    </cfRule>
    <cfRule type="expression" dxfId="20" priority="85" stopIfTrue="1">
      <formula>IF($U8="Some",1,0)</formula>
    </cfRule>
  </conditionalFormatting>
  <conditionalFormatting sqref="H8:J8">
    <cfRule type="expression" dxfId="19" priority="82" stopIfTrue="1">
      <formula>IF($V8="Yes",1,0)</formula>
    </cfRule>
    <cfRule type="expression" dxfId="18" priority="83" stopIfTrue="1">
      <formula>IF($V8="Some",1,0)</formula>
    </cfRule>
  </conditionalFormatting>
  <conditionalFormatting sqref="H8:J8">
    <cfRule type="expression" dxfId="17" priority="78" stopIfTrue="1">
      <formula>IF($W8="Yes",1,0)</formula>
    </cfRule>
    <cfRule type="expression" dxfId="16" priority="79" stopIfTrue="1">
      <formula>IF($W8="Some",1,0)</formula>
    </cfRule>
  </conditionalFormatting>
  <conditionalFormatting sqref="H8:J8">
    <cfRule type="expression" dxfId="15" priority="76" stopIfTrue="1">
      <formula>IF($X8="Yes",1,0)</formula>
    </cfRule>
    <cfRule type="expression" dxfId="14" priority="77" stopIfTrue="1">
      <formula>IF($X8="Some",1,0)</formula>
    </cfRule>
  </conditionalFormatting>
  <conditionalFormatting sqref="H7:J7">
    <cfRule type="expression" dxfId="13" priority="55" stopIfTrue="1">
      <formula>IF($U7="Yes",1,0)</formula>
    </cfRule>
    <cfRule type="expression" dxfId="12" priority="56" stopIfTrue="1">
      <formula>IF($U7="Some",1,0)</formula>
    </cfRule>
  </conditionalFormatting>
  <conditionalFormatting sqref="H7:J7">
    <cfRule type="expression" dxfId="11" priority="53" stopIfTrue="1">
      <formula>IF($V7="Yes",1,0)</formula>
    </cfRule>
    <cfRule type="expression" dxfId="10" priority="54" stopIfTrue="1">
      <formula>IF($V7="Some",1,0)</formula>
    </cfRule>
  </conditionalFormatting>
  <conditionalFormatting sqref="H7:J7">
    <cfRule type="expression" dxfId="9" priority="51" stopIfTrue="1">
      <formula>IF($W7="Yes",1,0)</formula>
    </cfRule>
    <cfRule type="expression" dxfId="8" priority="52" stopIfTrue="1">
      <formula>IF($W7="Some",1,0)</formula>
    </cfRule>
  </conditionalFormatting>
  <conditionalFormatting sqref="H7:J7">
    <cfRule type="expression" dxfId="7" priority="49" stopIfTrue="1">
      <formula>IF($X7="Yes",1,0)</formula>
    </cfRule>
    <cfRule type="expression" dxfId="6" priority="50" stopIfTrue="1">
      <formula>IF($X7="Some",1,0)</formula>
    </cfRule>
  </conditionalFormatting>
  <conditionalFormatting sqref="F7:F11">
    <cfRule type="cellIs" dxfId="5" priority="1" operator="equal">
      <formula>0</formula>
    </cfRule>
    <cfRule type="cellIs" dxfId="4" priority="2" operator="lessThan">
      <formula>1</formula>
    </cfRule>
    <cfRule type="cellIs" dxfId="3" priority="3" operator="greaterThanOrEqual">
      <formula>1</formula>
    </cfRule>
  </conditionalFormatting>
  <pageMargins left="0.7" right="0.7"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ClearValuesPlanning">
                <anchor moveWithCells="1" sizeWithCells="1">
                  <from>
                    <xdr:col>0</xdr:col>
                    <xdr:colOff>7620</xdr:colOff>
                    <xdr:row>3</xdr:row>
                    <xdr:rowOff>7620</xdr:rowOff>
                  </from>
                  <to>
                    <xdr:col>1</xdr:col>
                    <xdr:colOff>0</xdr:colOff>
                    <xdr:row>4</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sheetPr>
  <dimension ref="A1:MA50"/>
  <sheetViews>
    <sheetView showGridLines="0" zoomScale="50" zoomScaleNormal="50" workbookViewId="0">
      <pane xSplit="11" ySplit="6" topLeftCell="MA7" activePane="bottomRight" state="frozen"/>
      <selection pane="topRight" activeCell="L1" sqref="L1"/>
      <selection pane="bottomLeft" activeCell="A4" sqref="A4"/>
      <selection pane="bottomRight" activeCell="A10" sqref="A10"/>
    </sheetView>
  </sheetViews>
  <sheetFormatPr defaultColWidth="9.109375" defaultRowHeight="13.2" x14ac:dyDescent="0.25"/>
  <cols>
    <col min="1" max="1" width="31.33203125" style="1" customWidth="1"/>
    <col min="2" max="3" width="18.44140625" style="1" customWidth="1"/>
    <col min="4" max="6" width="18.44140625" style="3" customWidth="1"/>
    <col min="7" max="11" width="21.6640625" style="1" customWidth="1"/>
    <col min="12" max="16384" width="9.109375" style="1"/>
  </cols>
  <sheetData>
    <row r="1" spans="1:339" s="107" customFormat="1" ht="71.25" customHeight="1" x14ac:dyDescent="0.5"/>
    <row r="2" spans="1:339" s="2" customFormat="1" ht="20.25" customHeight="1" x14ac:dyDescent="0.5">
      <c r="A2" s="72" t="s">
        <v>184</v>
      </c>
      <c r="B2" s="73"/>
      <c r="C2" s="74"/>
      <c r="D2" s="74"/>
      <c r="E2" s="74"/>
      <c r="F2" s="74"/>
      <c r="G2" s="74"/>
      <c r="H2" s="74"/>
      <c r="I2" s="74"/>
      <c r="J2" s="74"/>
      <c r="K2" s="74"/>
    </row>
    <row r="3" spans="1:339" s="2" customFormat="1" ht="27" customHeight="1" x14ac:dyDescent="0.3">
      <c r="A3" s="159" t="s">
        <v>182</v>
      </c>
      <c r="B3" s="160"/>
      <c r="C3" s="160"/>
      <c r="D3" s="160"/>
      <c r="E3" s="160"/>
      <c r="F3" s="160"/>
      <c r="G3" s="160"/>
      <c r="H3" s="160"/>
      <c r="I3" s="160"/>
      <c r="J3" s="160"/>
      <c r="K3" s="161"/>
    </row>
    <row r="4" spans="1:339" s="78" customFormat="1" ht="41.25" customHeight="1" x14ac:dyDescent="0.5">
      <c r="A4" s="84"/>
      <c r="B4" s="86" t="s">
        <v>190</v>
      </c>
      <c r="C4" s="85"/>
      <c r="D4" s="85"/>
      <c r="E4" s="85"/>
      <c r="F4" s="85"/>
      <c r="G4" s="85"/>
      <c r="H4" s="85"/>
      <c r="I4" s="85"/>
      <c r="J4" s="85"/>
      <c r="K4" s="85"/>
    </row>
    <row r="5" spans="1:339" s="58" customFormat="1" ht="20.399999999999999" x14ac:dyDescent="0.35">
      <c r="A5" s="158" t="s">
        <v>117</v>
      </c>
      <c r="B5" s="158" t="s">
        <v>8</v>
      </c>
      <c r="C5" s="158"/>
      <c r="D5" s="173" t="s">
        <v>4</v>
      </c>
      <c r="E5" s="174"/>
      <c r="F5" s="53" t="s">
        <v>5</v>
      </c>
      <c r="G5" s="164" t="s">
        <v>4</v>
      </c>
      <c r="H5" s="164"/>
      <c r="I5" s="164"/>
      <c r="J5" s="164"/>
      <c r="K5" s="164"/>
      <c r="L5" s="57"/>
      <c r="M5" s="57"/>
      <c r="N5" s="57"/>
      <c r="O5" s="57"/>
      <c r="P5" s="57"/>
      <c r="Q5" s="57"/>
      <c r="R5" s="57"/>
      <c r="S5" s="57"/>
      <c r="T5" s="57"/>
      <c r="U5" s="57"/>
      <c r="V5" s="57"/>
    </row>
    <row r="6" spans="1:339" s="60" customFormat="1" ht="15.6" x14ac:dyDescent="0.3">
      <c r="A6" s="158"/>
      <c r="B6" s="158"/>
      <c r="C6" s="158"/>
      <c r="D6" s="46" t="s">
        <v>116</v>
      </c>
      <c r="E6" s="46" t="s">
        <v>6</v>
      </c>
      <c r="F6" s="49" t="s">
        <v>183</v>
      </c>
      <c r="G6" s="54">
        <v>1</v>
      </c>
      <c r="H6" s="54">
        <v>2</v>
      </c>
      <c r="I6" s="54">
        <v>3</v>
      </c>
      <c r="J6" s="54">
        <v>4</v>
      </c>
      <c r="K6" s="54">
        <v>5</v>
      </c>
      <c r="L6" s="59"/>
      <c r="M6" s="59"/>
      <c r="N6" s="59"/>
      <c r="O6" s="59"/>
      <c r="P6" s="59"/>
      <c r="Q6" s="59"/>
      <c r="R6" s="59"/>
      <c r="S6" s="59"/>
      <c r="T6" s="59"/>
      <c r="U6" s="59"/>
      <c r="V6" s="59"/>
    </row>
    <row r="7" spans="1:339" s="64" customFormat="1" ht="110.25" customHeight="1" x14ac:dyDescent="0.25">
      <c r="A7" s="99" t="s">
        <v>26</v>
      </c>
      <c r="B7" s="153" t="s">
        <v>142</v>
      </c>
      <c r="C7" s="154"/>
      <c r="D7" s="39">
        <v>2</v>
      </c>
      <c r="E7" s="39"/>
      <c r="F7" s="90">
        <f>IF((E7/D7)&gt;1, 1, (E7/D7))</f>
        <v>0</v>
      </c>
      <c r="G7" s="93" t="s">
        <v>47</v>
      </c>
      <c r="H7" s="93" t="s">
        <v>123</v>
      </c>
      <c r="I7" s="93" t="s">
        <v>122</v>
      </c>
      <c r="J7" s="93" t="s">
        <v>121</v>
      </c>
      <c r="K7" s="93" t="s">
        <v>152</v>
      </c>
      <c r="L7" s="61"/>
      <c r="M7" s="61"/>
      <c r="N7" s="61"/>
      <c r="O7" s="61"/>
      <c r="P7" s="61"/>
      <c r="Q7" s="61"/>
      <c r="R7" s="61"/>
      <c r="S7" s="61"/>
      <c r="T7" s="61"/>
      <c r="U7" s="61"/>
      <c r="V7" s="61"/>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c r="EX7" s="62"/>
      <c r="EY7" s="62"/>
      <c r="EZ7" s="62"/>
      <c r="FA7" s="62"/>
      <c r="FB7" s="62"/>
      <c r="FC7" s="62"/>
      <c r="FD7" s="62"/>
      <c r="FE7" s="62"/>
      <c r="FF7" s="62"/>
      <c r="FG7" s="62"/>
      <c r="FH7" s="62"/>
      <c r="FI7" s="62"/>
      <c r="FJ7" s="62"/>
      <c r="FK7" s="62"/>
      <c r="FL7" s="62"/>
      <c r="FM7" s="62"/>
      <c r="FN7" s="62"/>
      <c r="FO7" s="62"/>
      <c r="FP7" s="62"/>
      <c r="FQ7" s="62"/>
      <c r="FR7" s="62"/>
      <c r="FS7" s="62"/>
      <c r="FT7" s="62"/>
      <c r="FU7" s="62"/>
      <c r="FV7" s="62"/>
      <c r="FW7" s="62"/>
      <c r="FX7" s="62"/>
      <c r="FY7" s="62"/>
      <c r="FZ7" s="62"/>
      <c r="GA7" s="62"/>
      <c r="GB7" s="62"/>
      <c r="GC7" s="62"/>
      <c r="GD7" s="62"/>
      <c r="GE7" s="62"/>
      <c r="GF7" s="62"/>
      <c r="GG7" s="62"/>
      <c r="GH7" s="62"/>
      <c r="GI7" s="62"/>
      <c r="GJ7" s="62"/>
      <c r="GK7" s="62"/>
      <c r="GL7" s="62"/>
      <c r="GM7" s="62"/>
      <c r="GN7" s="62"/>
      <c r="GO7" s="62"/>
      <c r="GP7" s="62"/>
      <c r="GQ7" s="62"/>
      <c r="GR7" s="62"/>
      <c r="GS7" s="62"/>
      <c r="GT7" s="62"/>
      <c r="GU7" s="62"/>
      <c r="GV7" s="62"/>
      <c r="GW7" s="62"/>
      <c r="GX7" s="62"/>
      <c r="GY7" s="62"/>
      <c r="GZ7" s="62"/>
      <c r="HA7" s="62"/>
      <c r="HB7" s="62"/>
      <c r="HC7" s="62"/>
      <c r="HD7" s="62"/>
      <c r="HE7" s="62"/>
      <c r="HF7" s="62"/>
      <c r="HG7" s="62"/>
      <c r="HH7" s="62"/>
      <c r="HI7" s="62"/>
      <c r="HJ7" s="62"/>
      <c r="HK7" s="62"/>
      <c r="HL7" s="62"/>
      <c r="HM7" s="62"/>
      <c r="HN7" s="62"/>
      <c r="HO7" s="62"/>
      <c r="HP7" s="62"/>
      <c r="HQ7" s="62"/>
      <c r="HR7" s="62"/>
      <c r="HS7" s="62"/>
      <c r="HT7" s="62"/>
      <c r="HU7" s="62"/>
      <c r="HV7" s="62"/>
      <c r="HW7" s="62"/>
      <c r="HX7" s="62"/>
      <c r="HY7" s="62"/>
      <c r="HZ7" s="62"/>
      <c r="IA7" s="62"/>
      <c r="IB7" s="62"/>
      <c r="IC7" s="62"/>
      <c r="ID7" s="62"/>
      <c r="IE7" s="62"/>
      <c r="IF7" s="62"/>
      <c r="IG7" s="62"/>
      <c r="IH7" s="62"/>
      <c r="II7" s="62"/>
      <c r="IJ7" s="62"/>
      <c r="IK7" s="62"/>
      <c r="IL7" s="62"/>
      <c r="IM7" s="62"/>
      <c r="IN7" s="62"/>
      <c r="IO7" s="62"/>
      <c r="IP7" s="62"/>
      <c r="IQ7" s="62"/>
      <c r="IR7" s="62"/>
      <c r="IS7" s="62"/>
      <c r="IT7" s="62"/>
      <c r="IU7" s="62"/>
      <c r="IV7" s="62"/>
      <c r="IW7" s="62"/>
      <c r="IX7" s="62"/>
      <c r="IY7" s="62"/>
      <c r="IZ7" s="62"/>
      <c r="JA7" s="62"/>
      <c r="JB7" s="62"/>
      <c r="JC7" s="62"/>
      <c r="JD7" s="62"/>
      <c r="JE7" s="62"/>
      <c r="JF7" s="62"/>
      <c r="JG7" s="62"/>
      <c r="JH7" s="62"/>
      <c r="JI7" s="62"/>
      <c r="JJ7" s="62"/>
      <c r="JK7" s="62"/>
      <c r="JL7" s="62"/>
      <c r="JM7" s="62"/>
      <c r="JN7" s="62"/>
      <c r="JO7" s="62"/>
      <c r="JP7" s="62"/>
      <c r="JQ7" s="62"/>
      <c r="JR7" s="62"/>
      <c r="JS7" s="62"/>
      <c r="JT7" s="62"/>
      <c r="JU7" s="62"/>
      <c r="JV7" s="62"/>
      <c r="JW7" s="62"/>
      <c r="JX7" s="62"/>
      <c r="JY7" s="62"/>
      <c r="JZ7" s="62"/>
      <c r="KA7" s="62"/>
      <c r="KB7" s="62"/>
      <c r="KC7" s="62"/>
      <c r="KD7" s="62"/>
      <c r="KE7" s="62"/>
      <c r="KF7" s="62"/>
      <c r="KG7" s="62"/>
      <c r="KH7" s="62"/>
      <c r="KI7" s="62"/>
      <c r="KJ7" s="62"/>
      <c r="KK7" s="62"/>
      <c r="KL7" s="62"/>
      <c r="KM7" s="62"/>
      <c r="KN7" s="62"/>
      <c r="KO7" s="62"/>
      <c r="KP7" s="62"/>
      <c r="KQ7" s="62"/>
      <c r="KR7" s="62"/>
      <c r="KS7" s="62"/>
      <c r="KT7" s="62"/>
      <c r="KU7" s="62"/>
      <c r="KV7" s="62"/>
      <c r="KW7" s="62"/>
      <c r="KX7" s="62"/>
      <c r="KY7" s="62"/>
      <c r="KZ7" s="62"/>
      <c r="LA7" s="62"/>
      <c r="LB7" s="62"/>
      <c r="LC7" s="62"/>
      <c r="LD7" s="62"/>
      <c r="LE7" s="62"/>
      <c r="LF7" s="62"/>
      <c r="LG7" s="62"/>
      <c r="LH7" s="62"/>
      <c r="LI7" s="62"/>
      <c r="LJ7" s="62"/>
      <c r="LK7" s="62"/>
      <c r="LL7" s="62"/>
      <c r="LM7" s="62"/>
      <c r="LN7" s="62"/>
      <c r="LO7" s="62"/>
      <c r="LP7" s="62"/>
      <c r="LQ7" s="62"/>
      <c r="LR7" s="62"/>
      <c r="LS7" s="62"/>
      <c r="LT7" s="62"/>
      <c r="LU7" s="62"/>
      <c r="LV7" s="62"/>
      <c r="LW7" s="62"/>
      <c r="LX7" s="62"/>
      <c r="LY7" s="62"/>
      <c r="LZ7" s="62"/>
      <c r="MA7" s="63"/>
    </row>
    <row r="8" spans="1:339" s="64" customFormat="1" ht="163.5" customHeight="1" x14ac:dyDescent="0.25">
      <c r="A8" s="99" t="s">
        <v>17</v>
      </c>
      <c r="B8" s="153" t="s">
        <v>27</v>
      </c>
      <c r="C8" s="154"/>
      <c r="D8" s="39">
        <v>3</v>
      </c>
      <c r="E8" s="39"/>
      <c r="F8" s="90">
        <f t="shared" ref="F8:F13" si="0">IF((E8/D8)&gt;1, 1, (E8/D8))</f>
        <v>0</v>
      </c>
      <c r="G8" s="98" t="s">
        <v>48</v>
      </c>
      <c r="H8" s="98" t="s">
        <v>88</v>
      </c>
      <c r="I8" s="98" t="s">
        <v>81</v>
      </c>
      <c r="J8" s="93" t="s">
        <v>82</v>
      </c>
      <c r="K8" s="93" t="s">
        <v>49</v>
      </c>
      <c r="L8" s="61"/>
      <c r="M8" s="61"/>
      <c r="N8" s="61"/>
      <c r="O8" s="61"/>
      <c r="P8" s="61"/>
      <c r="Q8" s="61"/>
      <c r="R8" s="61"/>
      <c r="S8" s="61"/>
      <c r="T8" s="61"/>
      <c r="U8" s="61"/>
      <c r="V8" s="61"/>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2"/>
      <c r="BL8" s="62"/>
      <c r="BM8" s="62"/>
      <c r="BN8" s="62"/>
      <c r="BO8" s="62"/>
      <c r="BP8" s="62"/>
      <c r="BQ8" s="62"/>
      <c r="BR8" s="62"/>
      <c r="BS8" s="62"/>
      <c r="BT8" s="62"/>
      <c r="BU8" s="62"/>
      <c r="BV8" s="62"/>
      <c r="BW8" s="62"/>
      <c r="BX8" s="62"/>
      <c r="BY8" s="62"/>
      <c r="BZ8" s="62"/>
      <c r="CA8" s="62"/>
      <c r="CB8" s="62"/>
      <c r="CC8" s="62"/>
      <c r="CD8" s="62"/>
      <c r="CE8" s="62"/>
      <c r="CF8" s="62"/>
      <c r="CG8" s="62"/>
      <c r="CH8" s="62"/>
      <c r="CI8" s="62"/>
      <c r="CJ8" s="62"/>
      <c r="CK8" s="62"/>
      <c r="CL8" s="62"/>
      <c r="CM8" s="62"/>
      <c r="CN8" s="62"/>
      <c r="CO8" s="62"/>
      <c r="CP8" s="62"/>
      <c r="CQ8" s="62"/>
      <c r="CR8" s="62"/>
      <c r="CS8" s="62"/>
      <c r="CT8" s="62"/>
      <c r="CU8" s="62"/>
      <c r="CV8" s="62"/>
      <c r="CW8" s="62"/>
      <c r="CX8" s="62"/>
      <c r="CY8" s="62"/>
      <c r="CZ8" s="62"/>
      <c r="DA8" s="62"/>
      <c r="DB8" s="62"/>
      <c r="DC8" s="62"/>
      <c r="DD8" s="62"/>
      <c r="DE8" s="62"/>
      <c r="DF8" s="62"/>
      <c r="DG8" s="62"/>
      <c r="DH8" s="62"/>
      <c r="DI8" s="62"/>
      <c r="DJ8" s="62"/>
      <c r="DK8" s="62"/>
      <c r="DL8" s="62"/>
      <c r="DM8" s="62"/>
      <c r="DN8" s="62"/>
      <c r="DO8" s="62"/>
      <c r="DP8" s="62"/>
      <c r="DQ8" s="62"/>
      <c r="DR8" s="62"/>
      <c r="DS8" s="62"/>
      <c r="DT8" s="62"/>
      <c r="DU8" s="62"/>
      <c r="DV8" s="62"/>
      <c r="DW8" s="62"/>
      <c r="DX8" s="62"/>
      <c r="DY8" s="62"/>
      <c r="DZ8" s="62"/>
      <c r="EA8" s="62"/>
      <c r="EB8" s="62"/>
      <c r="EC8" s="62"/>
      <c r="ED8" s="62"/>
      <c r="EE8" s="62"/>
      <c r="EF8" s="62"/>
      <c r="EG8" s="62"/>
      <c r="EH8" s="62"/>
      <c r="EI8" s="62"/>
      <c r="EJ8" s="62"/>
      <c r="EK8" s="62"/>
      <c r="EL8" s="62"/>
      <c r="EM8" s="62"/>
      <c r="EN8" s="62"/>
      <c r="EO8" s="62"/>
      <c r="EP8" s="62"/>
      <c r="EQ8" s="62"/>
      <c r="ER8" s="62"/>
      <c r="ES8" s="62"/>
      <c r="ET8" s="62"/>
      <c r="EU8" s="62"/>
      <c r="EV8" s="62"/>
      <c r="EW8" s="62"/>
      <c r="EX8" s="62"/>
      <c r="EY8" s="62"/>
      <c r="EZ8" s="62"/>
      <c r="FA8" s="62"/>
      <c r="FB8" s="62"/>
      <c r="FC8" s="62"/>
      <c r="FD8" s="62"/>
      <c r="FE8" s="62"/>
      <c r="FF8" s="62"/>
      <c r="FG8" s="62"/>
      <c r="FH8" s="62"/>
      <c r="FI8" s="62"/>
      <c r="FJ8" s="62"/>
      <c r="FK8" s="62"/>
      <c r="FL8" s="62"/>
      <c r="FM8" s="62"/>
      <c r="FN8" s="62"/>
      <c r="FO8" s="62"/>
      <c r="FP8" s="62"/>
      <c r="FQ8" s="62"/>
      <c r="FR8" s="62"/>
      <c r="FS8" s="62"/>
      <c r="FT8" s="62"/>
      <c r="FU8" s="62"/>
      <c r="FV8" s="62"/>
      <c r="FW8" s="62"/>
      <c r="FX8" s="62"/>
      <c r="FY8" s="62"/>
      <c r="FZ8" s="62"/>
      <c r="GA8" s="62"/>
      <c r="GB8" s="62"/>
      <c r="GC8" s="62"/>
      <c r="GD8" s="62"/>
      <c r="GE8" s="62"/>
      <c r="GF8" s="62"/>
      <c r="GG8" s="62"/>
      <c r="GH8" s="62"/>
      <c r="GI8" s="62"/>
      <c r="GJ8" s="62"/>
      <c r="GK8" s="62"/>
      <c r="GL8" s="62"/>
      <c r="GM8" s="62"/>
      <c r="GN8" s="62"/>
      <c r="GO8" s="62"/>
      <c r="GP8" s="62"/>
      <c r="GQ8" s="62"/>
      <c r="GR8" s="62"/>
      <c r="GS8" s="62"/>
      <c r="GT8" s="62"/>
      <c r="GU8" s="62"/>
      <c r="GV8" s="62"/>
      <c r="GW8" s="62"/>
      <c r="GX8" s="62"/>
      <c r="GY8" s="62"/>
      <c r="GZ8" s="62"/>
      <c r="HA8" s="62"/>
      <c r="HB8" s="62"/>
      <c r="HC8" s="62"/>
      <c r="HD8" s="62"/>
      <c r="HE8" s="62"/>
      <c r="HF8" s="62"/>
      <c r="HG8" s="62"/>
      <c r="HH8" s="62"/>
      <c r="HI8" s="62"/>
      <c r="HJ8" s="62"/>
      <c r="HK8" s="62"/>
      <c r="HL8" s="62"/>
      <c r="HM8" s="62"/>
      <c r="HN8" s="62"/>
      <c r="HO8" s="62"/>
      <c r="HP8" s="62"/>
      <c r="HQ8" s="62"/>
      <c r="HR8" s="62"/>
      <c r="HS8" s="62"/>
      <c r="HT8" s="62"/>
      <c r="HU8" s="62"/>
      <c r="HV8" s="62"/>
      <c r="HW8" s="62"/>
      <c r="HX8" s="62"/>
      <c r="HY8" s="62"/>
      <c r="HZ8" s="62"/>
      <c r="IA8" s="62"/>
      <c r="IB8" s="62"/>
      <c r="IC8" s="62"/>
      <c r="ID8" s="62"/>
      <c r="IE8" s="62"/>
      <c r="IF8" s="62"/>
      <c r="IG8" s="62"/>
      <c r="IH8" s="62"/>
      <c r="II8" s="62"/>
      <c r="IJ8" s="62"/>
      <c r="IK8" s="62"/>
      <c r="IL8" s="62"/>
      <c r="IM8" s="62"/>
      <c r="IN8" s="62"/>
      <c r="IO8" s="62"/>
      <c r="IP8" s="62"/>
      <c r="IQ8" s="62"/>
      <c r="IR8" s="62"/>
      <c r="IS8" s="62"/>
      <c r="IT8" s="62"/>
      <c r="IU8" s="62"/>
      <c r="IV8" s="62"/>
      <c r="IW8" s="62"/>
      <c r="IX8" s="62"/>
      <c r="IY8" s="62"/>
      <c r="IZ8" s="62"/>
      <c r="JA8" s="62"/>
      <c r="JB8" s="62"/>
      <c r="JC8" s="62"/>
      <c r="JD8" s="62"/>
      <c r="JE8" s="62"/>
      <c r="JF8" s="62"/>
      <c r="JG8" s="62"/>
      <c r="JH8" s="62"/>
      <c r="JI8" s="62"/>
      <c r="JJ8" s="62"/>
      <c r="JK8" s="62"/>
      <c r="JL8" s="62"/>
      <c r="JM8" s="62"/>
      <c r="JN8" s="62"/>
      <c r="JO8" s="62"/>
      <c r="JP8" s="62"/>
      <c r="JQ8" s="62"/>
      <c r="JR8" s="62"/>
      <c r="JS8" s="62"/>
      <c r="JT8" s="62"/>
      <c r="JU8" s="62"/>
      <c r="JV8" s="62"/>
      <c r="JW8" s="62"/>
      <c r="JX8" s="62"/>
      <c r="JY8" s="62"/>
      <c r="JZ8" s="62"/>
      <c r="KA8" s="62"/>
      <c r="KB8" s="62"/>
      <c r="KC8" s="62"/>
      <c r="KD8" s="62"/>
      <c r="KE8" s="62"/>
      <c r="KF8" s="62"/>
      <c r="KG8" s="62"/>
      <c r="KH8" s="62"/>
      <c r="KI8" s="62"/>
      <c r="KJ8" s="62"/>
      <c r="KK8" s="62"/>
      <c r="KL8" s="62"/>
      <c r="KM8" s="62"/>
      <c r="KN8" s="62"/>
      <c r="KO8" s="62"/>
      <c r="KP8" s="62"/>
      <c r="KQ8" s="62"/>
      <c r="KR8" s="62"/>
      <c r="KS8" s="62"/>
      <c r="KT8" s="62"/>
      <c r="KU8" s="62"/>
      <c r="KV8" s="62"/>
      <c r="KW8" s="62"/>
      <c r="KX8" s="62"/>
      <c r="KY8" s="62"/>
      <c r="KZ8" s="62"/>
      <c r="LA8" s="62"/>
      <c r="LB8" s="62"/>
      <c r="LC8" s="62"/>
      <c r="LD8" s="62"/>
      <c r="LE8" s="62"/>
      <c r="LF8" s="62"/>
      <c r="LG8" s="62"/>
      <c r="LH8" s="62"/>
      <c r="LI8" s="62"/>
      <c r="LJ8" s="62"/>
      <c r="LK8" s="62"/>
      <c r="LL8" s="62"/>
      <c r="LM8" s="62"/>
      <c r="LN8" s="62"/>
      <c r="LO8" s="62"/>
      <c r="LP8" s="62"/>
      <c r="LQ8" s="62"/>
      <c r="LR8" s="62"/>
      <c r="LS8" s="62"/>
      <c r="LT8" s="62"/>
      <c r="LU8" s="62"/>
      <c r="LV8" s="62"/>
      <c r="LW8" s="62"/>
      <c r="LX8" s="62"/>
      <c r="LY8" s="62"/>
      <c r="LZ8" s="62"/>
      <c r="MA8" s="63"/>
    </row>
    <row r="9" spans="1:339" s="64" customFormat="1" ht="123.75" customHeight="1" x14ac:dyDescent="0.25">
      <c r="A9" s="99" t="s">
        <v>28</v>
      </c>
      <c r="B9" s="153" t="s">
        <v>146</v>
      </c>
      <c r="C9" s="154"/>
      <c r="D9" s="39">
        <v>2</v>
      </c>
      <c r="E9" s="39"/>
      <c r="F9" s="90">
        <f t="shared" si="0"/>
        <v>0</v>
      </c>
      <c r="G9" s="93" t="s">
        <v>108</v>
      </c>
      <c r="H9" s="93" t="s">
        <v>83</v>
      </c>
      <c r="I9" s="93" t="s">
        <v>84</v>
      </c>
      <c r="J9" s="93" t="s">
        <v>109</v>
      </c>
      <c r="K9" s="93" t="s">
        <v>85</v>
      </c>
      <c r="L9" s="61"/>
      <c r="M9" s="61"/>
      <c r="N9" s="61"/>
      <c r="O9" s="61"/>
      <c r="P9" s="61"/>
      <c r="Q9" s="61"/>
      <c r="R9" s="61"/>
      <c r="S9" s="61"/>
      <c r="T9" s="61"/>
      <c r="U9" s="61"/>
      <c r="V9" s="61"/>
      <c r="W9" s="62"/>
      <c r="X9" s="62"/>
      <c r="Y9" s="62"/>
      <c r="Z9" s="62"/>
      <c r="AA9" s="62"/>
      <c r="AB9" s="62"/>
      <c r="AC9" s="62"/>
      <c r="AD9" s="62"/>
      <c r="AE9" s="62"/>
      <c r="AF9" s="62"/>
      <c r="AG9" s="62"/>
      <c r="AH9" s="62"/>
      <c r="AI9" s="62"/>
      <c r="AJ9" s="62"/>
      <c r="AK9" s="62"/>
      <c r="AL9" s="62"/>
      <c r="AM9" s="62"/>
      <c r="AN9" s="62"/>
      <c r="AO9" s="62"/>
      <c r="AP9" s="62"/>
      <c r="AQ9" s="62"/>
      <c r="AR9" s="62"/>
      <c r="AS9" s="62"/>
      <c r="AT9" s="62"/>
      <c r="AU9" s="62"/>
      <c r="AV9" s="62"/>
      <c r="AW9" s="62"/>
      <c r="AX9" s="62"/>
      <c r="AY9" s="62"/>
      <c r="AZ9" s="62"/>
      <c r="BA9" s="62"/>
      <c r="BB9" s="62"/>
      <c r="BC9" s="62"/>
      <c r="BD9" s="62"/>
      <c r="BE9" s="62"/>
      <c r="BF9" s="62"/>
      <c r="BG9" s="62"/>
      <c r="BH9" s="62"/>
      <c r="BI9" s="62"/>
      <c r="BJ9" s="62"/>
      <c r="BK9" s="62"/>
      <c r="BL9" s="62"/>
      <c r="BM9" s="62"/>
      <c r="BN9" s="62"/>
      <c r="BO9" s="62"/>
      <c r="BP9" s="62"/>
      <c r="BQ9" s="62"/>
      <c r="BR9" s="62"/>
      <c r="BS9" s="62"/>
      <c r="BT9" s="62"/>
      <c r="BU9" s="62"/>
      <c r="BV9" s="62"/>
      <c r="BW9" s="62"/>
      <c r="BX9" s="62"/>
      <c r="BY9" s="62"/>
      <c r="BZ9" s="62"/>
      <c r="CA9" s="62"/>
      <c r="CB9" s="62"/>
      <c r="CC9" s="62"/>
      <c r="CD9" s="62"/>
      <c r="CE9" s="62"/>
      <c r="CF9" s="62"/>
      <c r="CG9" s="62"/>
      <c r="CH9" s="62"/>
      <c r="CI9" s="62"/>
      <c r="CJ9" s="62"/>
      <c r="CK9" s="62"/>
      <c r="CL9" s="62"/>
      <c r="CM9" s="62"/>
      <c r="CN9" s="62"/>
      <c r="CO9" s="62"/>
      <c r="CP9" s="62"/>
      <c r="CQ9" s="62"/>
      <c r="CR9" s="62"/>
      <c r="CS9" s="62"/>
      <c r="CT9" s="62"/>
      <c r="CU9" s="62"/>
      <c r="CV9" s="62"/>
      <c r="CW9" s="62"/>
      <c r="CX9" s="62"/>
      <c r="CY9" s="62"/>
      <c r="CZ9" s="62"/>
      <c r="DA9" s="62"/>
      <c r="DB9" s="62"/>
      <c r="DC9" s="62"/>
      <c r="DD9" s="62"/>
      <c r="DE9" s="62"/>
      <c r="DF9" s="62"/>
      <c r="DG9" s="62"/>
      <c r="DH9" s="62"/>
      <c r="DI9" s="62"/>
      <c r="DJ9" s="62"/>
      <c r="DK9" s="62"/>
      <c r="DL9" s="62"/>
      <c r="DM9" s="62"/>
      <c r="DN9" s="62"/>
      <c r="DO9" s="62"/>
      <c r="DP9" s="62"/>
      <c r="DQ9" s="62"/>
      <c r="DR9" s="62"/>
      <c r="DS9" s="62"/>
      <c r="DT9" s="62"/>
      <c r="DU9" s="62"/>
      <c r="DV9" s="62"/>
      <c r="DW9" s="62"/>
      <c r="DX9" s="62"/>
      <c r="DY9" s="62"/>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62"/>
      <c r="FC9" s="62"/>
      <c r="FD9" s="62"/>
      <c r="FE9" s="62"/>
      <c r="FF9" s="62"/>
      <c r="FG9" s="62"/>
      <c r="FH9" s="62"/>
      <c r="FI9" s="62"/>
      <c r="FJ9" s="62"/>
      <c r="FK9" s="62"/>
      <c r="FL9" s="62"/>
      <c r="FM9" s="62"/>
      <c r="FN9" s="62"/>
      <c r="FO9" s="62"/>
      <c r="FP9" s="62"/>
      <c r="FQ9" s="62"/>
      <c r="FR9" s="62"/>
      <c r="FS9" s="62"/>
      <c r="FT9" s="62"/>
      <c r="FU9" s="62"/>
      <c r="FV9" s="62"/>
      <c r="FW9" s="62"/>
      <c r="FX9" s="62"/>
      <c r="FY9" s="62"/>
      <c r="FZ9" s="62"/>
      <c r="GA9" s="62"/>
      <c r="GB9" s="62"/>
      <c r="GC9" s="62"/>
      <c r="GD9" s="62"/>
      <c r="GE9" s="62"/>
      <c r="GF9" s="62"/>
      <c r="GG9" s="62"/>
      <c r="GH9" s="62"/>
      <c r="GI9" s="62"/>
      <c r="GJ9" s="62"/>
      <c r="GK9" s="62"/>
      <c r="GL9" s="62"/>
      <c r="GM9" s="62"/>
      <c r="GN9" s="62"/>
      <c r="GO9" s="62"/>
      <c r="GP9" s="62"/>
      <c r="GQ9" s="62"/>
      <c r="GR9" s="62"/>
      <c r="GS9" s="62"/>
      <c r="GT9" s="62"/>
      <c r="GU9" s="62"/>
      <c r="GV9" s="62"/>
      <c r="GW9" s="62"/>
      <c r="GX9" s="62"/>
      <c r="GY9" s="62"/>
      <c r="GZ9" s="62"/>
      <c r="HA9" s="62"/>
      <c r="HB9" s="62"/>
      <c r="HC9" s="62"/>
      <c r="HD9" s="62"/>
      <c r="HE9" s="62"/>
      <c r="HF9" s="62"/>
      <c r="HG9" s="62"/>
      <c r="HH9" s="62"/>
      <c r="HI9" s="62"/>
      <c r="HJ9" s="62"/>
      <c r="HK9" s="62"/>
      <c r="HL9" s="62"/>
      <c r="HM9" s="62"/>
      <c r="HN9" s="62"/>
      <c r="HO9" s="62"/>
      <c r="HP9" s="62"/>
      <c r="HQ9" s="62"/>
      <c r="HR9" s="62"/>
      <c r="HS9" s="62"/>
      <c r="HT9" s="62"/>
      <c r="HU9" s="62"/>
      <c r="HV9" s="62"/>
      <c r="HW9" s="62"/>
      <c r="HX9" s="62"/>
      <c r="HY9" s="62"/>
      <c r="HZ9" s="62"/>
      <c r="IA9" s="62"/>
      <c r="IB9" s="62"/>
      <c r="IC9" s="62"/>
      <c r="ID9" s="62"/>
      <c r="IE9" s="62"/>
      <c r="IF9" s="62"/>
      <c r="IG9" s="62"/>
      <c r="IH9" s="62"/>
      <c r="II9" s="62"/>
      <c r="IJ9" s="62"/>
      <c r="IK9" s="62"/>
      <c r="IL9" s="62"/>
      <c r="IM9" s="62"/>
      <c r="IN9" s="62"/>
      <c r="IO9" s="62"/>
      <c r="IP9" s="62"/>
      <c r="IQ9" s="62"/>
      <c r="IR9" s="62"/>
      <c r="IS9" s="62"/>
      <c r="IT9" s="62"/>
      <c r="IU9" s="62"/>
      <c r="IV9" s="62"/>
      <c r="IW9" s="62"/>
      <c r="IX9" s="62"/>
      <c r="IY9" s="62"/>
      <c r="IZ9" s="62"/>
      <c r="JA9" s="62"/>
      <c r="JB9" s="62"/>
      <c r="JC9" s="62"/>
      <c r="JD9" s="62"/>
      <c r="JE9" s="62"/>
      <c r="JF9" s="62"/>
      <c r="JG9" s="62"/>
      <c r="JH9" s="62"/>
      <c r="JI9" s="62"/>
      <c r="JJ9" s="62"/>
      <c r="JK9" s="62"/>
      <c r="JL9" s="62"/>
      <c r="JM9" s="62"/>
      <c r="JN9" s="62"/>
      <c r="JO9" s="62"/>
      <c r="JP9" s="62"/>
      <c r="JQ9" s="62"/>
      <c r="JR9" s="62"/>
      <c r="JS9" s="62"/>
      <c r="JT9" s="62"/>
      <c r="JU9" s="62"/>
      <c r="JV9" s="62"/>
      <c r="JW9" s="62"/>
      <c r="JX9" s="62"/>
      <c r="JY9" s="62"/>
      <c r="JZ9" s="62"/>
      <c r="KA9" s="62"/>
      <c r="KB9" s="62"/>
      <c r="KC9" s="62"/>
      <c r="KD9" s="62"/>
      <c r="KE9" s="62"/>
      <c r="KF9" s="62"/>
      <c r="KG9" s="62"/>
      <c r="KH9" s="62"/>
      <c r="KI9" s="62"/>
      <c r="KJ9" s="62"/>
      <c r="KK9" s="62"/>
      <c r="KL9" s="62"/>
      <c r="KM9" s="62"/>
      <c r="KN9" s="62"/>
      <c r="KO9" s="62"/>
      <c r="KP9" s="62"/>
      <c r="KQ9" s="62"/>
      <c r="KR9" s="62"/>
      <c r="KS9" s="62"/>
      <c r="KT9" s="62"/>
      <c r="KU9" s="62"/>
      <c r="KV9" s="62"/>
      <c r="KW9" s="62"/>
      <c r="KX9" s="62"/>
      <c r="KY9" s="62"/>
      <c r="KZ9" s="62"/>
      <c r="LA9" s="62"/>
      <c r="LB9" s="62"/>
      <c r="LC9" s="62"/>
      <c r="LD9" s="62"/>
      <c r="LE9" s="62"/>
      <c r="LF9" s="62"/>
      <c r="LG9" s="62"/>
      <c r="LH9" s="62"/>
      <c r="LI9" s="62"/>
      <c r="LJ9" s="62"/>
      <c r="LK9" s="62"/>
      <c r="LL9" s="62"/>
      <c r="LM9" s="62"/>
      <c r="LN9" s="62"/>
      <c r="LO9" s="62"/>
      <c r="LP9" s="62"/>
      <c r="LQ9" s="62"/>
      <c r="LR9" s="62"/>
      <c r="LS9" s="62"/>
      <c r="LT9" s="62"/>
      <c r="LU9" s="62"/>
      <c r="LV9" s="62"/>
      <c r="LW9" s="62"/>
      <c r="LX9" s="62"/>
      <c r="LY9" s="62"/>
      <c r="LZ9" s="62"/>
      <c r="MA9" s="63"/>
    </row>
    <row r="10" spans="1:339" s="64" customFormat="1" ht="109.5" customHeight="1" x14ac:dyDescent="0.3">
      <c r="A10" s="99" t="s">
        <v>11</v>
      </c>
      <c r="B10" s="153" t="s">
        <v>143</v>
      </c>
      <c r="C10" s="154"/>
      <c r="D10" s="39">
        <v>3</v>
      </c>
      <c r="E10" s="39"/>
      <c r="F10" s="90">
        <f t="shared" si="0"/>
        <v>0</v>
      </c>
      <c r="G10" s="93" t="s">
        <v>57</v>
      </c>
      <c r="H10" s="93" t="s">
        <v>110</v>
      </c>
      <c r="I10" s="93" t="s">
        <v>86</v>
      </c>
      <c r="J10" s="93" t="s">
        <v>111</v>
      </c>
      <c r="K10" s="93" t="s">
        <v>112</v>
      </c>
      <c r="L10" s="61"/>
      <c r="M10" s="61"/>
      <c r="N10" s="61"/>
      <c r="O10" s="61"/>
      <c r="P10" s="61"/>
      <c r="Q10" s="61"/>
      <c r="R10" s="61"/>
      <c r="S10" s="61"/>
      <c r="T10" s="61"/>
      <c r="U10" s="61"/>
      <c r="V10" s="61"/>
      <c r="W10" s="62"/>
      <c r="X10" s="62"/>
      <c r="Y10" s="62"/>
      <c r="Z10" s="62"/>
      <c r="AA10" s="62"/>
      <c r="AB10" s="62"/>
      <c r="AC10" s="62"/>
      <c r="AD10" s="62"/>
      <c r="AE10" s="62"/>
      <c r="AF10" s="62"/>
      <c r="AG10" s="62"/>
      <c r="AH10" s="62"/>
      <c r="AI10" s="62"/>
      <c r="AJ10" s="62"/>
      <c r="AK10" s="62"/>
      <c r="AL10" s="62"/>
      <c r="AM10" s="62"/>
      <c r="AN10" s="62"/>
      <c r="AO10" s="62"/>
      <c r="AP10" s="62"/>
      <c r="AQ10" s="62"/>
      <c r="AR10" s="62"/>
      <c r="AS10" s="62"/>
      <c r="AT10" s="62"/>
      <c r="AU10" s="62"/>
      <c r="AV10" s="62"/>
      <c r="AW10" s="62"/>
      <c r="AX10" s="62"/>
      <c r="AY10" s="62"/>
      <c r="AZ10" s="62"/>
      <c r="BA10" s="62"/>
      <c r="BB10" s="62"/>
      <c r="BC10" s="62"/>
      <c r="BD10" s="62"/>
      <c r="BE10" s="62"/>
      <c r="BF10" s="62"/>
      <c r="BG10" s="62"/>
      <c r="BH10" s="62"/>
      <c r="BI10" s="62"/>
      <c r="BJ10" s="62"/>
      <c r="BK10" s="62"/>
      <c r="BL10" s="62"/>
      <c r="BM10" s="62"/>
      <c r="BN10" s="62"/>
      <c r="BO10" s="62"/>
      <c r="BP10" s="62"/>
      <c r="BQ10" s="62"/>
      <c r="BR10" s="62"/>
      <c r="BS10" s="62"/>
      <c r="BT10" s="62"/>
      <c r="BU10" s="62"/>
      <c r="BV10" s="62"/>
      <c r="BW10" s="62"/>
      <c r="BX10" s="62"/>
      <c r="BY10" s="62"/>
      <c r="BZ10" s="62"/>
      <c r="CA10" s="62"/>
      <c r="CB10" s="62"/>
      <c r="CC10" s="62"/>
      <c r="CD10" s="62"/>
      <c r="CE10" s="62"/>
      <c r="CF10" s="62"/>
      <c r="CG10" s="62"/>
      <c r="CH10" s="62"/>
      <c r="CI10" s="62"/>
      <c r="CJ10" s="62"/>
      <c r="CK10" s="62"/>
      <c r="CL10" s="62"/>
      <c r="CM10" s="62"/>
      <c r="CN10" s="62"/>
      <c r="CO10" s="62"/>
      <c r="CP10" s="62"/>
      <c r="CQ10" s="62"/>
      <c r="CR10" s="62"/>
      <c r="CS10" s="62"/>
      <c r="CT10" s="62"/>
      <c r="CU10" s="62"/>
      <c r="CV10" s="62"/>
      <c r="CW10" s="62"/>
      <c r="CX10" s="62"/>
      <c r="CY10" s="62"/>
      <c r="CZ10" s="62"/>
      <c r="DA10" s="62"/>
      <c r="DB10" s="62"/>
      <c r="DC10" s="62"/>
      <c r="DD10" s="62"/>
      <c r="DE10" s="62"/>
      <c r="DF10" s="62"/>
      <c r="DG10" s="62"/>
      <c r="DH10" s="62"/>
      <c r="DI10" s="62"/>
      <c r="DJ10" s="62"/>
      <c r="DK10" s="62"/>
      <c r="DL10" s="62"/>
      <c r="DM10" s="62"/>
      <c r="DN10" s="62"/>
      <c r="DO10" s="62"/>
      <c r="DP10" s="62"/>
      <c r="DQ10" s="62"/>
      <c r="DR10" s="62"/>
      <c r="DS10" s="62"/>
      <c r="DT10" s="62"/>
      <c r="DU10" s="62"/>
      <c r="DV10" s="62"/>
      <c r="DW10" s="62"/>
      <c r="DX10" s="62"/>
      <c r="DY10" s="62"/>
      <c r="DZ10" s="62"/>
      <c r="EA10" s="62"/>
      <c r="EB10" s="62"/>
      <c r="EC10" s="62"/>
      <c r="ED10" s="62"/>
      <c r="EE10" s="62"/>
      <c r="EF10" s="62"/>
      <c r="EG10" s="62"/>
      <c r="EH10" s="62"/>
      <c r="EI10" s="62"/>
      <c r="EJ10" s="62"/>
      <c r="EK10" s="62"/>
      <c r="EL10" s="62"/>
      <c r="EM10" s="62"/>
      <c r="EN10" s="62"/>
      <c r="EO10" s="62"/>
      <c r="EP10" s="62"/>
      <c r="EQ10" s="62"/>
      <c r="ER10" s="62"/>
      <c r="ES10" s="62"/>
      <c r="ET10" s="62"/>
      <c r="EU10" s="62"/>
      <c r="EV10" s="62"/>
      <c r="EW10" s="62"/>
      <c r="EX10" s="62"/>
      <c r="EY10" s="62"/>
      <c r="EZ10" s="62"/>
      <c r="FA10" s="62"/>
      <c r="FB10" s="62"/>
      <c r="FC10" s="62"/>
      <c r="FD10" s="62"/>
      <c r="FE10" s="62"/>
      <c r="FF10" s="62"/>
      <c r="FG10" s="62"/>
      <c r="FH10" s="62"/>
      <c r="FI10" s="62"/>
      <c r="FJ10" s="62"/>
      <c r="FK10" s="62"/>
      <c r="FL10" s="62"/>
      <c r="FM10" s="62"/>
      <c r="FN10" s="62"/>
      <c r="FO10" s="62"/>
      <c r="FP10" s="62"/>
      <c r="FQ10" s="62"/>
      <c r="FR10" s="62"/>
      <c r="FS10" s="62"/>
      <c r="FT10" s="62"/>
      <c r="FU10" s="62"/>
      <c r="FV10" s="62"/>
      <c r="FW10" s="62"/>
      <c r="FX10" s="62"/>
      <c r="FY10" s="62"/>
      <c r="FZ10" s="62"/>
      <c r="GA10" s="62"/>
      <c r="GB10" s="62"/>
      <c r="GC10" s="62"/>
      <c r="GD10" s="62"/>
      <c r="GE10" s="62"/>
      <c r="GF10" s="62"/>
      <c r="GG10" s="62"/>
      <c r="GH10" s="62"/>
      <c r="GI10" s="62"/>
      <c r="GJ10" s="62"/>
      <c r="GK10" s="62"/>
      <c r="GL10" s="62"/>
      <c r="GM10" s="62"/>
      <c r="GN10" s="62"/>
      <c r="GO10" s="62"/>
      <c r="GP10" s="62"/>
      <c r="GQ10" s="62"/>
      <c r="GR10" s="62"/>
      <c r="GS10" s="62"/>
      <c r="GT10" s="62"/>
      <c r="GU10" s="62"/>
      <c r="GV10" s="62"/>
      <c r="GW10" s="62"/>
      <c r="GX10" s="62"/>
      <c r="GY10" s="62"/>
      <c r="GZ10" s="62"/>
      <c r="HA10" s="62"/>
      <c r="HB10" s="62"/>
      <c r="HC10" s="62"/>
      <c r="HD10" s="62"/>
      <c r="HE10" s="62"/>
      <c r="HF10" s="62"/>
      <c r="HG10" s="62"/>
      <c r="HH10" s="62"/>
      <c r="HI10" s="62"/>
      <c r="HJ10" s="62"/>
      <c r="HK10" s="62"/>
      <c r="HL10" s="62"/>
      <c r="HM10" s="62"/>
      <c r="HN10" s="62"/>
      <c r="HO10" s="62"/>
      <c r="HP10" s="62"/>
      <c r="HQ10" s="62"/>
      <c r="HR10" s="62"/>
      <c r="HS10" s="62"/>
      <c r="HT10" s="62"/>
      <c r="HU10" s="62"/>
      <c r="HV10" s="62"/>
      <c r="HW10" s="62"/>
      <c r="HX10" s="62"/>
      <c r="HY10" s="62"/>
      <c r="HZ10" s="62"/>
      <c r="IA10" s="62"/>
      <c r="IB10" s="62"/>
      <c r="IC10" s="62"/>
      <c r="ID10" s="62"/>
      <c r="IE10" s="62"/>
      <c r="IF10" s="62"/>
      <c r="IG10" s="62"/>
      <c r="IH10" s="62"/>
      <c r="II10" s="62"/>
      <c r="IJ10" s="62"/>
      <c r="IK10" s="62"/>
      <c r="IL10" s="62"/>
      <c r="IM10" s="62"/>
      <c r="IN10" s="62"/>
      <c r="IO10" s="62"/>
      <c r="IP10" s="62"/>
      <c r="IQ10" s="62"/>
      <c r="IR10" s="62"/>
      <c r="IS10" s="62"/>
      <c r="IT10" s="62"/>
      <c r="IU10" s="62"/>
      <c r="IV10" s="62"/>
      <c r="IW10" s="62"/>
      <c r="IX10" s="62"/>
      <c r="IY10" s="62"/>
      <c r="IZ10" s="62"/>
      <c r="JA10" s="62"/>
      <c r="JB10" s="62"/>
      <c r="JC10" s="62"/>
      <c r="JD10" s="62"/>
      <c r="JE10" s="62"/>
      <c r="JF10" s="62"/>
      <c r="JG10" s="62"/>
      <c r="JH10" s="62"/>
      <c r="JI10" s="62"/>
      <c r="JJ10" s="62"/>
      <c r="JK10" s="62"/>
      <c r="JL10" s="62"/>
      <c r="JM10" s="62"/>
      <c r="JN10" s="62"/>
      <c r="JO10" s="62"/>
      <c r="JP10" s="62"/>
      <c r="JQ10" s="62"/>
      <c r="JR10" s="62"/>
      <c r="JS10" s="62"/>
      <c r="JT10" s="62"/>
      <c r="JU10" s="62"/>
      <c r="JV10" s="62"/>
      <c r="JW10" s="62"/>
      <c r="JX10" s="62"/>
      <c r="JY10" s="62"/>
      <c r="JZ10" s="62"/>
      <c r="KA10" s="62"/>
      <c r="KB10" s="62"/>
      <c r="KC10" s="62"/>
      <c r="KD10" s="62"/>
      <c r="KE10" s="62"/>
      <c r="KF10" s="62"/>
      <c r="KG10" s="62"/>
      <c r="KH10" s="62"/>
      <c r="KI10" s="62"/>
      <c r="KJ10" s="62"/>
      <c r="KK10" s="62"/>
      <c r="KL10" s="62"/>
      <c r="KM10" s="62"/>
      <c r="KN10" s="62"/>
      <c r="KO10" s="62"/>
      <c r="KP10" s="62"/>
      <c r="KQ10" s="62"/>
      <c r="KR10" s="62"/>
      <c r="KS10" s="62"/>
      <c r="KT10" s="62"/>
      <c r="KU10" s="62"/>
      <c r="KV10" s="62"/>
      <c r="KW10" s="62"/>
      <c r="KX10" s="62"/>
      <c r="KY10" s="62"/>
      <c r="KZ10" s="62"/>
      <c r="LA10" s="62"/>
      <c r="LB10" s="62"/>
      <c r="LC10" s="62"/>
      <c r="LD10" s="62"/>
      <c r="LE10" s="62"/>
      <c r="LF10" s="62"/>
      <c r="LG10" s="62"/>
      <c r="LH10" s="62"/>
      <c r="LI10" s="62"/>
      <c r="LJ10" s="62"/>
      <c r="LK10" s="62"/>
      <c r="LL10" s="62"/>
      <c r="LM10" s="62"/>
      <c r="LN10" s="62"/>
      <c r="LO10" s="62"/>
      <c r="LP10" s="62"/>
      <c r="LQ10" s="62"/>
      <c r="LR10" s="62"/>
      <c r="LS10" s="65"/>
      <c r="LT10" s="66"/>
      <c r="LU10" s="66"/>
      <c r="LV10" s="66"/>
      <c r="LW10" s="66"/>
      <c r="LX10" s="66"/>
      <c r="LY10" s="66"/>
      <c r="LZ10" s="66"/>
    </row>
    <row r="11" spans="1:339" s="64" customFormat="1" ht="113.25" customHeight="1" x14ac:dyDescent="0.3">
      <c r="A11" s="99" t="s">
        <v>10</v>
      </c>
      <c r="B11" s="153" t="s">
        <v>29</v>
      </c>
      <c r="C11" s="154"/>
      <c r="D11" s="39">
        <v>3</v>
      </c>
      <c r="E11" s="39"/>
      <c r="F11" s="90">
        <f t="shared" si="0"/>
        <v>0</v>
      </c>
      <c r="G11" s="93" t="s">
        <v>50</v>
      </c>
      <c r="H11" s="93" t="s">
        <v>89</v>
      </c>
      <c r="I11" s="93" t="s">
        <v>90</v>
      </c>
      <c r="J11" s="93" t="s">
        <v>91</v>
      </c>
      <c r="K11" s="93" t="s">
        <v>87</v>
      </c>
      <c r="L11" s="61"/>
      <c r="M11" s="61"/>
      <c r="N11" s="61"/>
      <c r="O11" s="61"/>
      <c r="P11" s="61"/>
      <c r="Q11" s="61"/>
      <c r="R11" s="61"/>
      <c r="S11" s="61"/>
      <c r="T11" s="61"/>
      <c r="U11" s="61"/>
      <c r="V11" s="61"/>
      <c r="W11" s="62"/>
      <c r="X11" s="62"/>
      <c r="Y11" s="62"/>
      <c r="Z11" s="62"/>
      <c r="AA11" s="62"/>
      <c r="AB11" s="62"/>
      <c r="AC11" s="62"/>
      <c r="AD11" s="62"/>
      <c r="AE11" s="62"/>
      <c r="AF11" s="62"/>
      <c r="AG11" s="62"/>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2"/>
      <c r="BL11" s="62"/>
      <c r="BM11" s="62"/>
      <c r="BN11" s="62"/>
      <c r="BO11" s="62"/>
      <c r="BP11" s="62"/>
      <c r="BQ11" s="62"/>
      <c r="BR11" s="62"/>
      <c r="BS11" s="62"/>
      <c r="BT11" s="62"/>
      <c r="BU11" s="62"/>
      <c r="BV11" s="62"/>
      <c r="BW11" s="62"/>
      <c r="BX11" s="62"/>
      <c r="BY11" s="62"/>
      <c r="BZ11" s="62"/>
      <c r="CA11" s="62"/>
      <c r="CB11" s="62"/>
      <c r="CC11" s="62"/>
      <c r="CD11" s="62"/>
      <c r="CE11" s="62"/>
      <c r="CF11" s="62"/>
      <c r="CG11" s="62"/>
      <c r="CH11" s="62"/>
      <c r="CI11" s="62"/>
      <c r="CJ11" s="62"/>
      <c r="CK11" s="62"/>
      <c r="CL11" s="62"/>
      <c r="CM11" s="62"/>
      <c r="CN11" s="62"/>
      <c r="CO11" s="62"/>
      <c r="CP11" s="62"/>
      <c r="CQ11" s="62"/>
      <c r="CR11" s="62"/>
      <c r="CS11" s="62"/>
      <c r="CT11" s="62"/>
      <c r="CU11" s="62"/>
      <c r="CV11" s="62"/>
      <c r="CW11" s="62"/>
      <c r="CX11" s="62"/>
      <c r="CY11" s="62"/>
      <c r="CZ11" s="62"/>
      <c r="DA11" s="62"/>
      <c r="DB11" s="62"/>
      <c r="DC11" s="62"/>
      <c r="DD11" s="62"/>
      <c r="DE11" s="62"/>
      <c r="DF11" s="62"/>
      <c r="DG11" s="62"/>
      <c r="DH11" s="62"/>
      <c r="DI11" s="62"/>
      <c r="DJ11" s="62"/>
      <c r="DK11" s="62"/>
      <c r="DL11" s="62"/>
      <c r="DM11" s="62"/>
      <c r="DN11" s="62"/>
      <c r="DO11" s="62"/>
      <c r="DP11" s="62"/>
      <c r="DQ11" s="62"/>
      <c r="DR11" s="62"/>
      <c r="DS11" s="62"/>
      <c r="DT11" s="62"/>
      <c r="DU11" s="62"/>
      <c r="DV11" s="62"/>
      <c r="DW11" s="62"/>
      <c r="DX11" s="62"/>
      <c r="DY11" s="62"/>
      <c r="DZ11" s="62"/>
      <c r="EA11" s="62"/>
      <c r="EB11" s="62"/>
      <c r="EC11" s="62"/>
      <c r="ED11" s="62"/>
      <c r="EE11" s="62"/>
      <c r="EF11" s="62"/>
      <c r="EG11" s="62"/>
      <c r="EH11" s="62"/>
      <c r="EI11" s="62"/>
      <c r="EJ11" s="62"/>
      <c r="EK11" s="62"/>
      <c r="EL11" s="62"/>
      <c r="EM11" s="62"/>
      <c r="EN11" s="62"/>
      <c r="EO11" s="62"/>
      <c r="EP11" s="62"/>
      <c r="EQ11" s="62"/>
      <c r="ER11" s="62"/>
      <c r="ES11" s="62"/>
      <c r="ET11" s="62"/>
      <c r="EU11" s="62"/>
      <c r="EV11" s="62"/>
      <c r="EW11" s="62"/>
      <c r="EX11" s="62"/>
      <c r="EY11" s="62"/>
      <c r="EZ11" s="62"/>
      <c r="FA11" s="62"/>
      <c r="FB11" s="62"/>
      <c r="FC11" s="62"/>
      <c r="FD11" s="62"/>
      <c r="FE11" s="62"/>
      <c r="FF11" s="62"/>
      <c r="FG11" s="62"/>
      <c r="FH11" s="62"/>
      <c r="FI11" s="62"/>
      <c r="FJ11" s="62"/>
      <c r="FK11" s="62"/>
      <c r="FL11" s="62"/>
      <c r="FM11" s="62"/>
      <c r="FN11" s="62"/>
      <c r="FO11" s="62"/>
      <c r="FP11" s="62"/>
      <c r="FQ11" s="62"/>
      <c r="FR11" s="62"/>
      <c r="FS11" s="62"/>
      <c r="FT11" s="62"/>
      <c r="FU11" s="62"/>
      <c r="FV11" s="62"/>
      <c r="FW11" s="62"/>
      <c r="FX11" s="62"/>
      <c r="FY11" s="62"/>
      <c r="FZ11" s="62"/>
      <c r="GA11" s="62"/>
      <c r="GB11" s="62"/>
      <c r="GC11" s="62"/>
      <c r="GD11" s="62"/>
      <c r="GE11" s="62"/>
      <c r="GF11" s="62"/>
      <c r="GG11" s="62"/>
      <c r="GH11" s="62"/>
      <c r="GI11" s="62"/>
      <c r="GJ11" s="62"/>
      <c r="GK11" s="62"/>
      <c r="GL11" s="62"/>
      <c r="GM11" s="62"/>
      <c r="GN11" s="62"/>
      <c r="GO11" s="62"/>
      <c r="GP11" s="62"/>
      <c r="GQ11" s="62"/>
      <c r="GR11" s="62"/>
      <c r="GS11" s="62"/>
      <c r="GT11" s="62"/>
      <c r="GU11" s="62"/>
      <c r="GV11" s="62"/>
      <c r="GW11" s="62"/>
      <c r="GX11" s="62"/>
      <c r="GY11" s="62"/>
      <c r="GZ11" s="62"/>
      <c r="HA11" s="62"/>
      <c r="HB11" s="62"/>
      <c r="HC11" s="62"/>
      <c r="HD11" s="62"/>
      <c r="HE11" s="62"/>
      <c r="HF11" s="62"/>
      <c r="HG11" s="62"/>
      <c r="HH11" s="62"/>
      <c r="HI11" s="62"/>
      <c r="HJ11" s="62"/>
      <c r="HK11" s="62"/>
      <c r="HL11" s="62"/>
      <c r="HM11" s="62"/>
      <c r="HN11" s="62"/>
      <c r="HO11" s="62"/>
      <c r="HP11" s="62"/>
      <c r="HQ11" s="62"/>
      <c r="HR11" s="62"/>
      <c r="HS11" s="62"/>
      <c r="HT11" s="62"/>
      <c r="HU11" s="62"/>
      <c r="HV11" s="62"/>
      <c r="HW11" s="62"/>
      <c r="HX11" s="62"/>
      <c r="HY11" s="62"/>
      <c r="HZ11" s="62"/>
      <c r="IA11" s="62"/>
      <c r="IB11" s="62"/>
      <c r="IC11" s="62"/>
      <c r="ID11" s="62"/>
      <c r="IE11" s="62"/>
      <c r="IF11" s="62"/>
      <c r="IG11" s="62"/>
      <c r="IH11" s="62"/>
      <c r="II11" s="62"/>
      <c r="IJ11" s="62"/>
      <c r="IK11" s="62"/>
      <c r="IL11" s="62"/>
      <c r="IM11" s="62"/>
      <c r="IN11" s="62"/>
      <c r="IO11" s="62"/>
      <c r="IP11" s="62"/>
      <c r="IQ11" s="62"/>
      <c r="IR11" s="62"/>
      <c r="IS11" s="62"/>
      <c r="IT11" s="62"/>
      <c r="IU11" s="62"/>
      <c r="IV11" s="62"/>
      <c r="IW11" s="62"/>
      <c r="IX11" s="62"/>
      <c r="IY11" s="62"/>
      <c r="IZ11" s="62"/>
      <c r="JA11" s="62"/>
      <c r="JB11" s="62"/>
      <c r="JC11" s="62"/>
      <c r="JD11" s="62"/>
      <c r="JE11" s="62"/>
      <c r="JF11" s="62"/>
      <c r="JG11" s="62"/>
      <c r="JH11" s="62"/>
      <c r="JI11" s="62"/>
      <c r="JJ11" s="62"/>
      <c r="JK11" s="62"/>
      <c r="JL11" s="62"/>
      <c r="JM11" s="62"/>
      <c r="JN11" s="62"/>
      <c r="JO11" s="62"/>
      <c r="JP11" s="62"/>
      <c r="JQ11" s="62"/>
      <c r="JR11" s="62"/>
      <c r="JS11" s="62"/>
      <c r="JT11" s="62"/>
      <c r="JU11" s="62"/>
      <c r="JV11" s="62"/>
      <c r="JW11" s="62"/>
      <c r="JX11" s="62"/>
      <c r="JY11" s="62"/>
      <c r="JZ11" s="62"/>
      <c r="KA11" s="62"/>
      <c r="KB11" s="62"/>
      <c r="KC11" s="62"/>
      <c r="KD11" s="62"/>
      <c r="KE11" s="62"/>
      <c r="KF11" s="62"/>
      <c r="KG11" s="62"/>
      <c r="KH11" s="62"/>
      <c r="KI11" s="62"/>
      <c r="KJ11" s="62"/>
      <c r="KK11" s="62"/>
      <c r="KL11" s="62"/>
      <c r="KM11" s="62"/>
      <c r="KN11" s="62"/>
      <c r="KO11" s="62"/>
      <c r="KP11" s="62"/>
      <c r="KQ11" s="62"/>
      <c r="KR11" s="62"/>
      <c r="KS11" s="62"/>
      <c r="KT11" s="62"/>
      <c r="KU11" s="62"/>
      <c r="KV11" s="62"/>
      <c r="KW11" s="62"/>
      <c r="KX11" s="62"/>
      <c r="KY11" s="62"/>
      <c r="KZ11" s="62"/>
      <c r="LA11" s="62"/>
      <c r="LB11" s="62"/>
      <c r="LC11" s="62"/>
      <c r="LD11" s="62"/>
      <c r="LE11" s="62"/>
      <c r="LF11" s="62"/>
      <c r="LG11" s="62"/>
      <c r="LH11" s="62"/>
      <c r="LI11" s="62"/>
      <c r="LJ11" s="62"/>
      <c r="LK11" s="62"/>
      <c r="LL11" s="62"/>
      <c r="LM11" s="62"/>
      <c r="LN11" s="62"/>
      <c r="LO11" s="62"/>
      <c r="LP11" s="62"/>
      <c r="LQ11" s="62"/>
      <c r="LR11" s="62"/>
      <c r="LS11" s="62"/>
      <c r="LT11" s="62"/>
      <c r="LU11" s="62"/>
      <c r="LV11" s="62"/>
      <c r="LW11" s="62"/>
      <c r="LX11" s="62"/>
      <c r="LY11" s="62"/>
      <c r="LZ11" s="62"/>
      <c r="MA11" s="63"/>
    </row>
    <row r="12" spans="1:339" s="64" customFormat="1" ht="100.5" customHeight="1" x14ac:dyDescent="0.3">
      <c r="A12" s="99" t="s">
        <v>14</v>
      </c>
      <c r="B12" s="153" t="s">
        <v>144</v>
      </c>
      <c r="C12" s="154"/>
      <c r="D12" s="39">
        <v>3</v>
      </c>
      <c r="E12" s="39"/>
      <c r="F12" s="90">
        <f t="shared" si="0"/>
        <v>0</v>
      </c>
      <c r="G12" s="93" t="s">
        <v>51</v>
      </c>
      <c r="H12" s="93" t="s">
        <v>94</v>
      </c>
      <c r="I12" s="93" t="s">
        <v>92</v>
      </c>
      <c r="J12" s="93" t="s">
        <v>93</v>
      </c>
      <c r="K12" s="93" t="s">
        <v>124</v>
      </c>
      <c r="L12" s="61"/>
      <c r="M12" s="62"/>
      <c r="N12" s="61"/>
      <c r="O12" s="61"/>
      <c r="P12" s="61"/>
      <c r="Q12" s="61"/>
      <c r="R12" s="61"/>
      <c r="S12" s="61"/>
      <c r="T12" s="61"/>
      <c r="U12" s="61"/>
      <c r="V12" s="61"/>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c r="BM12" s="62"/>
      <c r="BN12" s="62"/>
      <c r="BO12" s="62"/>
      <c r="BP12" s="62"/>
      <c r="BQ12" s="62"/>
      <c r="BR12" s="62"/>
      <c r="BS12" s="62"/>
      <c r="BT12" s="62"/>
      <c r="BU12" s="62"/>
      <c r="BV12" s="62"/>
      <c r="BW12" s="62"/>
      <c r="BX12" s="62"/>
      <c r="BY12" s="62"/>
      <c r="BZ12" s="62"/>
      <c r="CA12" s="62"/>
      <c r="CB12" s="62"/>
      <c r="CC12" s="62"/>
      <c r="CD12" s="62"/>
      <c r="CE12" s="62"/>
      <c r="CF12" s="62"/>
      <c r="CG12" s="62"/>
      <c r="CH12" s="62"/>
      <c r="CI12" s="62"/>
      <c r="CJ12" s="62"/>
      <c r="CK12" s="62"/>
      <c r="CL12" s="62"/>
      <c r="CM12" s="62"/>
      <c r="CN12" s="62"/>
      <c r="CO12" s="62"/>
      <c r="CP12" s="62"/>
      <c r="CQ12" s="62"/>
      <c r="CR12" s="62"/>
      <c r="CS12" s="62"/>
      <c r="CT12" s="62"/>
      <c r="CU12" s="62"/>
      <c r="CV12" s="62"/>
      <c r="CW12" s="62"/>
      <c r="CX12" s="62"/>
      <c r="CY12" s="62"/>
      <c r="CZ12" s="62"/>
      <c r="DA12" s="62"/>
      <c r="DB12" s="62"/>
      <c r="DC12" s="62"/>
      <c r="DD12" s="62"/>
      <c r="DE12" s="62"/>
      <c r="DF12" s="62"/>
      <c r="DG12" s="62"/>
      <c r="DH12" s="62"/>
      <c r="DI12" s="62"/>
      <c r="DJ12" s="62"/>
      <c r="DK12" s="62"/>
      <c r="DL12" s="62"/>
      <c r="DM12" s="62"/>
      <c r="DN12" s="62"/>
      <c r="DO12" s="62"/>
      <c r="DP12" s="62"/>
      <c r="DQ12" s="62"/>
      <c r="DR12" s="62"/>
      <c r="DS12" s="62"/>
      <c r="DT12" s="62"/>
      <c r="DU12" s="62"/>
      <c r="DV12" s="62"/>
      <c r="DW12" s="62"/>
      <c r="DX12" s="62"/>
      <c r="DY12" s="62"/>
      <c r="DZ12" s="62"/>
      <c r="EA12" s="62"/>
      <c r="EB12" s="62"/>
      <c r="EC12" s="62"/>
      <c r="ED12" s="62"/>
      <c r="EE12" s="62"/>
      <c r="EF12" s="62"/>
      <c r="EG12" s="62"/>
      <c r="EH12" s="62"/>
      <c r="EI12" s="62"/>
      <c r="EJ12" s="62"/>
      <c r="EK12" s="62"/>
      <c r="EL12" s="62"/>
      <c r="EM12" s="62"/>
      <c r="EN12" s="62"/>
      <c r="EO12" s="62"/>
      <c r="EP12" s="62"/>
      <c r="EQ12" s="62"/>
      <c r="ER12" s="62"/>
      <c r="ES12" s="62"/>
      <c r="ET12" s="62"/>
      <c r="EU12" s="62"/>
      <c r="EV12" s="62"/>
      <c r="EW12" s="62"/>
      <c r="EX12" s="62"/>
      <c r="EY12" s="62"/>
      <c r="EZ12" s="62"/>
      <c r="FA12" s="62"/>
      <c r="FB12" s="62"/>
      <c r="FC12" s="62"/>
      <c r="FD12" s="62"/>
      <c r="FE12" s="62"/>
      <c r="FF12" s="62"/>
      <c r="FG12" s="62"/>
      <c r="FH12" s="62"/>
      <c r="FI12" s="62"/>
      <c r="FJ12" s="62"/>
      <c r="FK12" s="62"/>
      <c r="FL12" s="62"/>
      <c r="FM12" s="62"/>
      <c r="FN12" s="62"/>
      <c r="FO12" s="62"/>
      <c r="FP12" s="62"/>
      <c r="FQ12" s="62"/>
      <c r="FR12" s="62"/>
      <c r="FS12" s="62"/>
      <c r="FT12" s="62"/>
      <c r="FU12" s="62"/>
      <c r="FV12" s="62"/>
      <c r="FW12" s="62"/>
      <c r="FX12" s="62"/>
      <c r="FY12" s="62"/>
      <c r="FZ12" s="62"/>
      <c r="GA12" s="62"/>
      <c r="GB12" s="62"/>
      <c r="GC12" s="62"/>
      <c r="GD12" s="62"/>
      <c r="GE12" s="62"/>
      <c r="GF12" s="62"/>
      <c r="GG12" s="62"/>
      <c r="GH12" s="62"/>
      <c r="GI12" s="62"/>
      <c r="GJ12" s="62"/>
      <c r="GK12" s="62"/>
      <c r="GL12" s="62"/>
      <c r="GM12" s="62"/>
      <c r="GN12" s="62"/>
      <c r="GO12" s="62"/>
      <c r="GP12" s="62"/>
      <c r="GQ12" s="62"/>
      <c r="GR12" s="62"/>
      <c r="GS12" s="62"/>
      <c r="GT12" s="62"/>
      <c r="GU12" s="62"/>
      <c r="GV12" s="62"/>
      <c r="GW12" s="62"/>
      <c r="GX12" s="62"/>
      <c r="GY12" s="62"/>
      <c r="GZ12" s="62"/>
      <c r="HA12" s="62"/>
      <c r="HB12" s="62"/>
      <c r="HC12" s="62"/>
      <c r="HD12" s="62"/>
      <c r="HE12" s="62"/>
      <c r="HF12" s="62"/>
      <c r="HG12" s="62"/>
      <c r="HH12" s="62"/>
      <c r="HI12" s="62"/>
      <c r="HJ12" s="62"/>
      <c r="HK12" s="62"/>
      <c r="HL12" s="62"/>
      <c r="HM12" s="62"/>
      <c r="HN12" s="62"/>
      <c r="HO12" s="62"/>
      <c r="HP12" s="62"/>
      <c r="HQ12" s="62"/>
      <c r="HR12" s="62"/>
      <c r="HS12" s="62"/>
      <c r="HT12" s="62"/>
      <c r="HU12" s="62"/>
      <c r="HV12" s="62"/>
      <c r="HW12" s="62"/>
      <c r="HX12" s="62"/>
      <c r="HY12" s="62"/>
      <c r="HZ12" s="62"/>
      <c r="IA12" s="62"/>
      <c r="IB12" s="62"/>
      <c r="IC12" s="62"/>
      <c r="ID12" s="62"/>
      <c r="IE12" s="62"/>
      <c r="IF12" s="62"/>
      <c r="IG12" s="62"/>
      <c r="IH12" s="62"/>
      <c r="II12" s="62"/>
      <c r="IJ12" s="62"/>
      <c r="IK12" s="62"/>
      <c r="IL12" s="62"/>
      <c r="IM12" s="62"/>
      <c r="IN12" s="62"/>
      <c r="IO12" s="62"/>
      <c r="IP12" s="62"/>
      <c r="IQ12" s="62"/>
      <c r="IR12" s="62"/>
      <c r="IS12" s="62"/>
      <c r="IT12" s="62"/>
      <c r="IU12" s="62"/>
      <c r="IV12" s="62"/>
      <c r="IW12" s="62"/>
      <c r="IX12" s="62"/>
      <c r="IY12" s="62"/>
      <c r="IZ12" s="62"/>
      <c r="JA12" s="62"/>
      <c r="JB12" s="62"/>
      <c r="JC12" s="62"/>
      <c r="JD12" s="62"/>
      <c r="JE12" s="62"/>
      <c r="JF12" s="62"/>
      <c r="JG12" s="62"/>
      <c r="JH12" s="62"/>
      <c r="JI12" s="62"/>
      <c r="JJ12" s="62"/>
      <c r="JK12" s="62"/>
      <c r="JL12" s="62"/>
      <c r="JM12" s="62"/>
      <c r="JN12" s="62"/>
      <c r="JO12" s="62"/>
      <c r="JP12" s="62"/>
      <c r="JQ12" s="62"/>
      <c r="JR12" s="62"/>
      <c r="JS12" s="62"/>
      <c r="JT12" s="62"/>
      <c r="JU12" s="62"/>
      <c r="JV12" s="62"/>
      <c r="JW12" s="62"/>
      <c r="JX12" s="62"/>
      <c r="JY12" s="62"/>
      <c r="JZ12" s="62"/>
      <c r="KA12" s="62"/>
      <c r="KB12" s="62"/>
      <c r="KC12" s="62"/>
      <c r="KD12" s="62"/>
      <c r="KE12" s="62"/>
      <c r="KF12" s="62"/>
      <c r="KG12" s="62"/>
      <c r="KH12" s="62"/>
      <c r="KI12" s="62"/>
      <c r="KJ12" s="62"/>
      <c r="KK12" s="62"/>
      <c r="KL12" s="62"/>
      <c r="KM12" s="62"/>
      <c r="KN12" s="62"/>
      <c r="KO12" s="62"/>
      <c r="KP12" s="62"/>
      <c r="KQ12" s="62"/>
      <c r="KR12" s="62"/>
      <c r="KS12" s="62"/>
      <c r="KT12" s="62"/>
      <c r="KU12" s="62"/>
      <c r="KV12" s="62"/>
      <c r="KW12" s="62"/>
      <c r="KX12" s="62"/>
      <c r="KY12" s="62"/>
      <c r="KZ12" s="62"/>
      <c r="LA12" s="62"/>
      <c r="LB12" s="62"/>
      <c r="LC12" s="62"/>
      <c r="LD12" s="62"/>
      <c r="LE12" s="62"/>
      <c r="LF12" s="62"/>
      <c r="LG12" s="62"/>
      <c r="LH12" s="62"/>
      <c r="LI12" s="62"/>
      <c r="LJ12" s="62"/>
      <c r="LK12" s="62"/>
      <c r="LL12" s="62"/>
      <c r="LM12" s="62"/>
      <c r="LN12" s="62"/>
      <c r="LO12" s="62"/>
      <c r="LP12" s="62"/>
      <c r="LQ12" s="62"/>
      <c r="LR12" s="62"/>
      <c r="LS12" s="62"/>
      <c r="LT12" s="62"/>
      <c r="LU12" s="62"/>
      <c r="LV12" s="62"/>
      <c r="LW12" s="62"/>
      <c r="LX12" s="62"/>
      <c r="LY12" s="62"/>
      <c r="LZ12" s="62"/>
      <c r="MA12" s="63"/>
    </row>
    <row r="13" spans="1:339" s="64" customFormat="1" ht="130.5" customHeight="1" x14ac:dyDescent="0.3">
      <c r="A13" s="99" t="s">
        <v>20</v>
      </c>
      <c r="B13" s="153" t="s">
        <v>145</v>
      </c>
      <c r="C13" s="154"/>
      <c r="D13" s="39">
        <v>4</v>
      </c>
      <c r="E13" s="39"/>
      <c r="F13" s="90">
        <f t="shared" si="0"/>
        <v>0</v>
      </c>
      <c r="G13" s="93" t="s">
        <v>151</v>
      </c>
      <c r="H13" s="93" t="s">
        <v>95</v>
      </c>
      <c r="I13" s="93" t="s">
        <v>113</v>
      </c>
      <c r="J13" s="93" t="s">
        <v>125</v>
      </c>
      <c r="K13" s="93" t="s">
        <v>52</v>
      </c>
      <c r="L13" s="61"/>
      <c r="M13" s="61"/>
      <c r="N13" s="61"/>
      <c r="O13" s="61"/>
      <c r="P13" s="61"/>
      <c r="Q13" s="61"/>
      <c r="R13" s="61"/>
      <c r="S13" s="61"/>
      <c r="T13" s="61"/>
      <c r="U13" s="61"/>
      <c r="V13" s="61"/>
      <c r="W13" s="62"/>
      <c r="X13" s="62"/>
      <c r="Y13" s="62"/>
      <c r="Z13" s="62"/>
      <c r="AA13" s="62"/>
      <c r="AB13" s="62"/>
      <c r="AC13" s="62"/>
      <c r="AD13" s="62"/>
      <c r="AE13" s="62"/>
      <c r="AF13" s="62"/>
      <c r="AG13" s="62"/>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2"/>
      <c r="BL13" s="62"/>
      <c r="BM13" s="62"/>
      <c r="BN13" s="62"/>
      <c r="BO13" s="62"/>
      <c r="BP13" s="62"/>
      <c r="BQ13" s="62"/>
      <c r="BR13" s="62"/>
      <c r="BS13" s="62"/>
      <c r="BT13" s="62"/>
      <c r="BU13" s="62"/>
      <c r="BV13" s="62"/>
      <c r="BW13" s="62"/>
      <c r="BX13" s="62"/>
      <c r="BY13" s="62"/>
      <c r="BZ13" s="62"/>
      <c r="CA13" s="62"/>
      <c r="CB13" s="62"/>
      <c r="CC13" s="62"/>
      <c r="CD13" s="62"/>
      <c r="CE13" s="62"/>
      <c r="CF13" s="62"/>
      <c r="CG13" s="62"/>
      <c r="CH13" s="62"/>
      <c r="CI13" s="62"/>
      <c r="CJ13" s="62"/>
      <c r="CK13" s="62"/>
      <c r="CL13" s="62"/>
      <c r="CM13" s="62"/>
      <c r="CN13" s="62"/>
      <c r="CO13" s="62"/>
      <c r="CP13" s="62"/>
      <c r="CQ13" s="62"/>
      <c r="CR13" s="62"/>
      <c r="CS13" s="62"/>
      <c r="CT13" s="62"/>
      <c r="CU13" s="62"/>
      <c r="CV13" s="62"/>
      <c r="CW13" s="62"/>
      <c r="CX13" s="62"/>
      <c r="CY13" s="62"/>
      <c r="CZ13" s="62"/>
      <c r="DA13" s="62"/>
      <c r="DB13" s="62"/>
      <c r="DC13" s="62"/>
      <c r="DD13" s="62"/>
      <c r="DE13" s="62"/>
      <c r="DF13" s="62"/>
      <c r="DG13" s="62"/>
      <c r="DH13" s="62"/>
      <c r="DI13" s="62"/>
      <c r="DJ13" s="62"/>
      <c r="DK13" s="62"/>
      <c r="DL13" s="62"/>
      <c r="DM13" s="62"/>
      <c r="DN13" s="62"/>
      <c r="DO13" s="62"/>
      <c r="DP13" s="62"/>
      <c r="DQ13" s="62"/>
      <c r="DR13" s="62"/>
      <c r="DS13" s="62"/>
      <c r="DT13" s="62"/>
      <c r="DU13" s="62"/>
      <c r="DV13" s="62"/>
      <c r="DW13" s="62"/>
      <c r="DX13" s="62"/>
      <c r="DY13" s="62"/>
      <c r="DZ13" s="62"/>
      <c r="EA13" s="62"/>
      <c r="EB13" s="62"/>
      <c r="EC13" s="62"/>
      <c r="ED13" s="62"/>
      <c r="EE13" s="62"/>
      <c r="EF13" s="62"/>
      <c r="EG13" s="62"/>
      <c r="EH13" s="62"/>
      <c r="EI13" s="62"/>
      <c r="EJ13" s="62"/>
      <c r="EK13" s="62"/>
      <c r="EL13" s="62"/>
      <c r="EM13" s="62"/>
      <c r="EN13" s="62"/>
      <c r="EO13" s="62"/>
      <c r="EP13" s="62"/>
      <c r="EQ13" s="62"/>
      <c r="ER13" s="62"/>
      <c r="ES13" s="62"/>
      <c r="ET13" s="62"/>
      <c r="EU13" s="62"/>
      <c r="EV13" s="62"/>
      <c r="EW13" s="62"/>
      <c r="EX13" s="62"/>
      <c r="EY13" s="62"/>
      <c r="EZ13" s="62"/>
      <c r="FA13" s="62"/>
      <c r="FB13" s="62"/>
      <c r="FC13" s="62"/>
      <c r="FD13" s="62"/>
      <c r="FE13" s="62"/>
      <c r="FF13" s="62"/>
      <c r="FG13" s="62"/>
      <c r="FH13" s="62"/>
      <c r="FI13" s="62"/>
      <c r="FJ13" s="62"/>
      <c r="FK13" s="62"/>
      <c r="FL13" s="62"/>
      <c r="FM13" s="62"/>
      <c r="FN13" s="62"/>
      <c r="FO13" s="62"/>
      <c r="FP13" s="62"/>
      <c r="FQ13" s="62"/>
      <c r="FR13" s="62"/>
      <c r="FS13" s="62"/>
      <c r="FT13" s="62"/>
      <c r="FU13" s="62"/>
      <c r="FV13" s="62"/>
      <c r="FW13" s="62"/>
      <c r="FX13" s="62"/>
      <c r="FY13" s="62"/>
      <c r="FZ13" s="62"/>
      <c r="GA13" s="62"/>
      <c r="GB13" s="62"/>
      <c r="GC13" s="62"/>
      <c r="GD13" s="62"/>
      <c r="GE13" s="62"/>
      <c r="GF13" s="62"/>
      <c r="GG13" s="62"/>
      <c r="GH13" s="62"/>
      <c r="GI13" s="62"/>
      <c r="GJ13" s="62"/>
      <c r="GK13" s="62"/>
      <c r="GL13" s="62"/>
      <c r="GM13" s="62"/>
      <c r="GN13" s="62"/>
      <c r="GO13" s="62"/>
      <c r="GP13" s="62"/>
      <c r="GQ13" s="62"/>
      <c r="GR13" s="62"/>
      <c r="GS13" s="62"/>
      <c r="GT13" s="62"/>
      <c r="GU13" s="62"/>
      <c r="GV13" s="62"/>
      <c r="GW13" s="62"/>
      <c r="GX13" s="62"/>
      <c r="GY13" s="62"/>
      <c r="GZ13" s="62"/>
      <c r="HA13" s="62"/>
      <c r="HB13" s="62"/>
      <c r="HC13" s="62"/>
      <c r="HD13" s="62"/>
      <c r="HE13" s="62"/>
      <c r="HF13" s="62"/>
      <c r="HG13" s="62"/>
      <c r="HH13" s="62"/>
      <c r="HI13" s="62"/>
      <c r="HJ13" s="62"/>
      <c r="HK13" s="62"/>
      <c r="HL13" s="62"/>
      <c r="HM13" s="62"/>
      <c r="HN13" s="62"/>
      <c r="HO13" s="62"/>
      <c r="HP13" s="62"/>
      <c r="HQ13" s="62"/>
      <c r="HR13" s="62"/>
      <c r="HS13" s="62"/>
      <c r="HT13" s="62"/>
      <c r="HU13" s="62"/>
      <c r="HV13" s="62"/>
      <c r="HW13" s="62"/>
      <c r="HX13" s="62"/>
      <c r="HY13" s="62"/>
      <c r="HZ13" s="62"/>
      <c r="IA13" s="62"/>
      <c r="IB13" s="62"/>
      <c r="IC13" s="62"/>
      <c r="ID13" s="62"/>
      <c r="IE13" s="62"/>
      <c r="IF13" s="62"/>
      <c r="IG13" s="62"/>
      <c r="IH13" s="62"/>
      <c r="II13" s="62"/>
      <c r="IJ13" s="62"/>
      <c r="IK13" s="62"/>
      <c r="IL13" s="62"/>
      <c r="IM13" s="62"/>
      <c r="IN13" s="62"/>
      <c r="IO13" s="62"/>
      <c r="IP13" s="62"/>
      <c r="IQ13" s="62"/>
      <c r="IR13" s="62"/>
      <c r="IS13" s="62"/>
      <c r="IT13" s="62"/>
      <c r="IU13" s="62"/>
      <c r="IV13" s="62"/>
      <c r="IW13" s="62"/>
      <c r="IX13" s="62"/>
      <c r="IY13" s="62"/>
      <c r="IZ13" s="62"/>
      <c r="JA13" s="62"/>
      <c r="JB13" s="62"/>
      <c r="JC13" s="62"/>
      <c r="JD13" s="62"/>
      <c r="JE13" s="62"/>
      <c r="JF13" s="62"/>
      <c r="JG13" s="62"/>
      <c r="JH13" s="62"/>
      <c r="JI13" s="62"/>
      <c r="JJ13" s="62"/>
      <c r="JK13" s="62"/>
      <c r="JL13" s="62"/>
      <c r="JM13" s="62"/>
      <c r="JN13" s="62"/>
      <c r="JO13" s="62"/>
      <c r="JP13" s="62"/>
      <c r="JQ13" s="62"/>
      <c r="JR13" s="62"/>
      <c r="JS13" s="62"/>
      <c r="JT13" s="62"/>
      <c r="JU13" s="62"/>
      <c r="JV13" s="62"/>
      <c r="JW13" s="62"/>
      <c r="JX13" s="62"/>
      <c r="JY13" s="62"/>
      <c r="JZ13" s="62"/>
      <c r="KA13" s="62"/>
      <c r="KB13" s="62"/>
      <c r="KC13" s="62"/>
      <c r="KD13" s="62"/>
      <c r="KE13" s="62"/>
      <c r="KF13" s="62"/>
      <c r="KG13" s="62"/>
      <c r="KH13" s="62"/>
      <c r="KI13" s="62"/>
      <c r="KJ13" s="62"/>
      <c r="KK13" s="62"/>
      <c r="KL13" s="62"/>
      <c r="KM13" s="62"/>
      <c r="KN13" s="62"/>
      <c r="KO13" s="62"/>
      <c r="KP13" s="62"/>
      <c r="KQ13" s="62"/>
      <c r="KR13" s="62"/>
      <c r="KS13" s="62"/>
      <c r="KT13" s="62"/>
      <c r="KU13" s="62"/>
      <c r="KV13" s="62"/>
      <c r="KW13" s="62"/>
      <c r="KX13" s="62"/>
      <c r="KY13" s="62"/>
      <c r="KZ13" s="62"/>
      <c r="LA13" s="62"/>
      <c r="LB13" s="62"/>
      <c r="LC13" s="62"/>
      <c r="LD13" s="62"/>
      <c r="LE13" s="62"/>
      <c r="LF13" s="62"/>
      <c r="LG13" s="62"/>
      <c r="LH13" s="62"/>
      <c r="LI13" s="62"/>
      <c r="LJ13" s="62"/>
      <c r="LK13" s="62"/>
      <c r="LL13" s="62"/>
      <c r="LM13" s="62"/>
      <c r="LN13" s="62"/>
      <c r="LO13" s="62"/>
      <c r="LP13" s="62"/>
      <c r="LQ13" s="62"/>
      <c r="LR13" s="62"/>
      <c r="LS13" s="62"/>
      <c r="LT13" s="62"/>
      <c r="LU13" s="62"/>
      <c r="LV13" s="62"/>
      <c r="LW13" s="62"/>
      <c r="LX13" s="62"/>
      <c r="LY13" s="62"/>
      <c r="LZ13" s="62"/>
      <c r="MA13" s="63"/>
    </row>
    <row r="14" spans="1:339" s="67" customFormat="1" ht="15.75" hidden="1" customHeight="1" x14ac:dyDescent="0.25">
      <c r="C14" s="68" t="s">
        <v>3</v>
      </c>
      <c r="D14" s="40">
        <f>SUM(D6:D13)</f>
        <v>20</v>
      </c>
      <c r="E14" s="40">
        <f>SUM(IF(E7&gt;D7,D7,E7),IF(E8&gt;D8,D8,E8),IF(E9&gt;D9,D9,E9),IF(E10&gt;D10,D10,E10), IF(E11&gt;D11,D11,E11), IF(E12&gt;D12,D12,E12), IF(E13&gt;D13,D13,E13))</f>
        <v>0</v>
      </c>
      <c r="F14" s="50">
        <f>AVERAGE(F7:F13)</f>
        <v>0</v>
      </c>
      <c r="G14" s="69"/>
      <c r="H14" s="69"/>
      <c r="I14" s="69"/>
      <c r="J14" s="69"/>
      <c r="K14" s="69"/>
      <c r="L14" s="69"/>
      <c r="M14" s="69"/>
      <c r="N14" s="69"/>
      <c r="O14" s="69"/>
      <c r="P14" s="69"/>
      <c r="Q14" s="69"/>
      <c r="R14" s="69"/>
      <c r="S14" s="69"/>
      <c r="T14" s="69"/>
      <c r="U14" s="69"/>
      <c r="V14" s="69"/>
    </row>
    <row r="15" spans="1:339" s="67" customFormat="1" x14ac:dyDescent="0.25">
      <c r="V15" s="70"/>
      <c r="W15" s="70"/>
      <c r="X15" s="70"/>
      <c r="Y15" s="70"/>
      <c r="Z15" s="70"/>
      <c r="AA15" s="70"/>
      <c r="AB15" s="70"/>
      <c r="AC15" s="70"/>
      <c r="AD15" s="70"/>
      <c r="AE15" s="70"/>
      <c r="AF15" s="70"/>
      <c r="AG15" s="70"/>
      <c r="AH15" s="70"/>
      <c r="AI15" s="70"/>
      <c r="AJ15" s="70"/>
      <c r="AK15" s="70"/>
      <c r="AL15" s="70"/>
      <c r="AM15" s="70"/>
      <c r="AN15" s="70"/>
      <c r="AO15" s="70"/>
      <c r="AP15" s="70"/>
      <c r="AQ15" s="70"/>
      <c r="AR15" s="70"/>
      <c r="AS15" s="70"/>
      <c r="AT15" s="70"/>
      <c r="AU15" s="70"/>
      <c r="AV15" s="70"/>
      <c r="AW15" s="70"/>
      <c r="AX15" s="70"/>
      <c r="AY15" s="70"/>
      <c r="AZ15" s="70"/>
      <c r="BA15" s="70"/>
      <c r="BB15" s="70"/>
      <c r="BC15" s="70"/>
      <c r="BD15" s="70"/>
      <c r="BE15" s="70"/>
      <c r="BF15" s="70"/>
      <c r="BG15" s="70"/>
      <c r="BH15" s="70"/>
      <c r="BI15" s="70"/>
      <c r="BJ15" s="70"/>
      <c r="BK15" s="70"/>
      <c r="BL15" s="70"/>
      <c r="BM15" s="70"/>
      <c r="BN15" s="70"/>
      <c r="BO15" s="70"/>
      <c r="BP15" s="70"/>
      <c r="BQ15" s="70"/>
      <c r="BR15" s="70"/>
      <c r="BS15" s="70"/>
      <c r="BT15" s="70"/>
      <c r="BU15" s="70"/>
      <c r="BV15" s="70"/>
      <c r="BW15" s="70"/>
      <c r="BX15" s="70"/>
      <c r="BY15" s="70"/>
      <c r="BZ15" s="70"/>
      <c r="CA15" s="70"/>
      <c r="CB15" s="70"/>
      <c r="CC15" s="70"/>
      <c r="CD15" s="70"/>
      <c r="CE15" s="70"/>
      <c r="CF15" s="70"/>
      <c r="CG15" s="70"/>
      <c r="CH15" s="70"/>
      <c r="CI15" s="70"/>
      <c r="CJ15" s="70"/>
      <c r="CK15" s="70"/>
      <c r="CL15" s="70"/>
      <c r="CM15" s="70"/>
      <c r="CN15" s="70"/>
      <c r="CO15" s="70"/>
      <c r="CP15" s="70"/>
      <c r="CQ15" s="70"/>
      <c r="CR15" s="70"/>
      <c r="CS15" s="70"/>
      <c r="CT15" s="70"/>
      <c r="CU15" s="70"/>
      <c r="CV15" s="70"/>
      <c r="CW15" s="70"/>
      <c r="CX15" s="70"/>
      <c r="CY15" s="70"/>
      <c r="CZ15" s="70"/>
      <c r="DA15" s="70"/>
      <c r="DB15" s="70"/>
      <c r="DC15" s="70"/>
      <c r="DD15" s="70"/>
      <c r="DE15" s="70"/>
      <c r="DF15" s="70"/>
      <c r="DG15" s="70"/>
      <c r="DH15" s="70"/>
      <c r="DI15" s="70"/>
      <c r="DJ15" s="70"/>
      <c r="DK15" s="70"/>
      <c r="DL15" s="70"/>
      <c r="DM15" s="70"/>
      <c r="DN15" s="70"/>
      <c r="DO15" s="70"/>
      <c r="DP15" s="70"/>
      <c r="DQ15" s="70"/>
      <c r="DR15" s="70"/>
      <c r="DS15" s="70"/>
      <c r="DT15" s="70"/>
      <c r="DU15" s="70"/>
      <c r="DV15" s="70"/>
      <c r="DW15" s="70"/>
      <c r="DX15" s="70"/>
      <c r="DY15" s="70"/>
      <c r="DZ15" s="70"/>
      <c r="EA15" s="70"/>
      <c r="EB15" s="70"/>
      <c r="EC15" s="70"/>
      <c r="ED15" s="70"/>
      <c r="EE15" s="70"/>
      <c r="EF15" s="70"/>
      <c r="EG15" s="70"/>
      <c r="EH15" s="70"/>
      <c r="EI15" s="70"/>
      <c r="EJ15" s="70"/>
      <c r="EK15" s="70"/>
      <c r="EL15" s="70"/>
      <c r="EM15" s="70"/>
      <c r="EN15" s="70"/>
      <c r="EO15" s="70"/>
      <c r="EP15" s="70"/>
      <c r="EQ15" s="70"/>
      <c r="ER15" s="70"/>
      <c r="ES15" s="70"/>
      <c r="ET15" s="70"/>
      <c r="EU15" s="70"/>
      <c r="EV15" s="70"/>
      <c r="EW15" s="70"/>
      <c r="EX15" s="70"/>
      <c r="EY15" s="70"/>
      <c r="EZ15" s="70"/>
      <c r="FA15" s="70"/>
      <c r="FB15" s="70"/>
      <c r="FC15" s="70"/>
      <c r="FD15" s="70"/>
      <c r="FE15" s="70"/>
      <c r="FF15" s="70"/>
      <c r="FG15" s="70"/>
      <c r="FH15" s="70"/>
      <c r="FI15" s="70"/>
      <c r="FJ15" s="70"/>
      <c r="FK15" s="70"/>
      <c r="FL15" s="70"/>
      <c r="FM15" s="70"/>
      <c r="FN15" s="70"/>
      <c r="FO15" s="70"/>
      <c r="FP15" s="70"/>
      <c r="FQ15" s="70"/>
      <c r="FR15" s="70"/>
      <c r="FS15" s="70"/>
      <c r="FT15" s="70"/>
      <c r="FU15" s="70"/>
      <c r="FV15" s="70"/>
      <c r="FW15" s="70"/>
      <c r="FX15" s="70"/>
      <c r="FY15" s="70"/>
      <c r="FZ15" s="70"/>
      <c r="GA15" s="70"/>
      <c r="GB15" s="70"/>
      <c r="GC15" s="70"/>
      <c r="GD15" s="70"/>
      <c r="GE15" s="70"/>
      <c r="GF15" s="70"/>
      <c r="GG15" s="70"/>
      <c r="GH15" s="70"/>
      <c r="GI15" s="70"/>
      <c r="GJ15" s="70"/>
      <c r="GK15" s="70"/>
      <c r="GL15" s="70"/>
      <c r="GM15" s="70"/>
      <c r="GN15" s="70"/>
      <c r="GO15" s="70"/>
      <c r="GP15" s="70"/>
      <c r="GQ15" s="70"/>
      <c r="GR15" s="70"/>
      <c r="GS15" s="70"/>
      <c r="GT15" s="70"/>
      <c r="GU15" s="70"/>
      <c r="GV15" s="70"/>
      <c r="GW15" s="70"/>
      <c r="GX15" s="70"/>
      <c r="GY15" s="70"/>
      <c r="GZ15" s="70"/>
      <c r="HA15" s="70"/>
      <c r="HB15" s="70"/>
      <c r="HC15" s="70"/>
      <c r="HD15" s="70"/>
      <c r="HE15" s="70"/>
      <c r="HF15" s="70"/>
      <c r="HG15" s="70"/>
      <c r="HH15" s="70"/>
      <c r="HI15" s="70"/>
      <c r="HJ15" s="70"/>
      <c r="HK15" s="70"/>
      <c r="HL15" s="70"/>
      <c r="HM15" s="70"/>
      <c r="HN15" s="70"/>
      <c r="HO15" s="70"/>
      <c r="HP15" s="70"/>
      <c r="HQ15" s="70"/>
      <c r="HR15" s="70"/>
      <c r="HS15" s="70"/>
      <c r="HT15" s="70"/>
      <c r="HU15" s="70"/>
      <c r="HV15" s="70"/>
      <c r="HW15" s="70"/>
      <c r="HX15" s="70"/>
      <c r="HY15" s="70"/>
      <c r="HZ15" s="70"/>
      <c r="IA15" s="70"/>
      <c r="IB15" s="70"/>
      <c r="IC15" s="70"/>
      <c r="ID15" s="70"/>
      <c r="IE15" s="70"/>
      <c r="IF15" s="70"/>
      <c r="IG15" s="70"/>
      <c r="IH15" s="70"/>
      <c r="II15" s="70"/>
      <c r="IJ15" s="70"/>
      <c r="IK15" s="70"/>
      <c r="IL15" s="70"/>
      <c r="IM15" s="70"/>
      <c r="IN15" s="70"/>
      <c r="IO15" s="70"/>
      <c r="IP15" s="70"/>
      <c r="IQ15" s="70"/>
      <c r="IR15" s="70"/>
      <c r="IS15" s="70"/>
      <c r="IT15" s="70"/>
      <c r="IU15" s="70"/>
      <c r="IV15" s="70"/>
      <c r="IW15" s="70"/>
      <c r="IX15" s="70"/>
      <c r="IY15" s="70"/>
      <c r="IZ15" s="70"/>
      <c r="JA15" s="70"/>
      <c r="JB15" s="70"/>
      <c r="JC15" s="70"/>
      <c r="JD15" s="70"/>
      <c r="JE15" s="70"/>
      <c r="JF15" s="70"/>
      <c r="JG15" s="70"/>
      <c r="JH15" s="70"/>
      <c r="JI15" s="70"/>
      <c r="JJ15" s="70"/>
      <c r="JK15" s="70"/>
      <c r="JL15" s="70"/>
      <c r="JM15" s="70"/>
      <c r="JN15" s="70"/>
      <c r="JO15" s="70"/>
      <c r="JP15" s="70"/>
      <c r="JQ15" s="70"/>
      <c r="JR15" s="70"/>
      <c r="JS15" s="70"/>
      <c r="JT15" s="70"/>
      <c r="JU15" s="70"/>
      <c r="JV15" s="70"/>
      <c r="JW15" s="70"/>
      <c r="JX15" s="70"/>
      <c r="JY15" s="70"/>
      <c r="JZ15" s="70"/>
      <c r="KA15" s="70"/>
      <c r="KB15" s="70"/>
      <c r="KC15" s="70"/>
      <c r="KD15" s="70"/>
      <c r="KE15" s="70"/>
      <c r="KF15" s="70"/>
      <c r="KG15" s="70"/>
      <c r="KH15" s="70"/>
      <c r="KI15" s="70"/>
      <c r="KJ15" s="70"/>
      <c r="KK15" s="70"/>
      <c r="KL15" s="70"/>
      <c r="KM15" s="70"/>
      <c r="KN15" s="70"/>
      <c r="KO15" s="70"/>
      <c r="KP15" s="70"/>
      <c r="KQ15" s="70"/>
      <c r="KR15" s="70"/>
      <c r="KS15" s="70"/>
      <c r="KT15" s="70"/>
      <c r="KU15" s="70"/>
      <c r="KV15" s="70"/>
      <c r="KW15" s="70"/>
      <c r="KX15" s="70"/>
      <c r="KY15" s="70"/>
      <c r="KZ15" s="70"/>
      <c r="LA15" s="70"/>
      <c r="LB15" s="70"/>
      <c r="LC15" s="70"/>
      <c r="LD15" s="70"/>
      <c r="LE15" s="70"/>
      <c r="LF15" s="70"/>
      <c r="LG15" s="70"/>
      <c r="LH15" s="70"/>
      <c r="LI15" s="70"/>
      <c r="LJ15" s="70"/>
      <c r="LK15" s="70"/>
      <c r="LL15" s="70"/>
      <c r="LM15" s="70"/>
      <c r="LN15" s="70"/>
      <c r="LO15" s="70"/>
      <c r="LP15" s="70"/>
      <c r="LQ15" s="70"/>
      <c r="LR15" s="70"/>
    </row>
    <row r="16" spans="1:339" s="67" customFormat="1" x14ac:dyDescent="0.25">
      <c r="K16" s="71"/>
      <c r="V16" s="70"/>
      <c r="W16" s="70"/>
      <c r="X16" s="70"/>
      <c r="Y16" s="70"/>
      <c r="Z16" s="70"/>
      <c r="AA16" s="70"/>
      <c r="AB16" s="70"/>
      <c r="AC16" s="70"/>
      <c r="AD16" s="70"/>
      <c r="AE16" s="70"/>
      <c r="AF16" s="70"/>
      <c r="AG16" s="70"/>
      <c r="AH16" s="70"/>
      <c r="AI16" s="70"/>
      <c r="AJ16" s="70"/>
      <c r="AK16" s="70"/>
      <c r="AL16" s="70"/>
      <c r="AM16" s="70"/>
      <c r="AN16" s="70"/>
      <c r="AO16" s="70"/>
      <c r="AP16" s="70"/>
      <c r="AQ16" s="70"/>
      <c r="AR16" s="70"/>
      <c r="AS16" s="70"/>
      <c r="AT16" s="70"/>
      <c r="AU16" s="70"/>
      <c r="AV16" s="70"/>
      <c r="AW16" s="70"/>
      <c r="AX16" s="70"/>
      <c r="AY16" s="70"/>
      <c r="AZ16" s="70"/>
      <c r="BA16" s="70"/>
      <c r="BB16" s="70"/>
      <c r="BC16" s="70"/>
      <c r="BD16" s="70"/>
      <c r="BE16" s="70"/>
      <c r="BF16" s="70"/>
      <c r="BG16" s="70"/>
      <c r="BH16" s="70"/>
      <c r="BI16" s="70"/>
      <c r="BJ16" s="70"/>
      <c r="BK16" s="70"/>
      <c r="BL16" s="70"/>
      <c r="BM16" s="70"/>
      <c r="BN16" s="70"/>
      <c r="BO16" s="70"/>
      <c r="BP16" s="70"/>
      <c r="BQ16" s="70"/>
      <c r="BR16" s="70"/>
      <c r="BS16" s="70"/>
      <c r="BT16" s="70"/>
      <c r="BU16" s="70"/>
      <c r="BV16" s="70"/>
      <c r="BW16" s="70"/>
      <c r="BX16" s="70"/>
      <c r="BY16" s="70"/>
      <c r="BZ16" s="70"/>
      <c r="CA16" s="70"/>
      <c r="CB16" s="70"/>
      <c r="CC16" s="70"/>
      <c r="CD16" s="70"/>
      <c r="CE16" s="70"/>
      <c r="CF16" s="70"/>
      <c r="CG16" s="70"/>
      <c r="CH16" s="70"/>
      <c r="CI16" s="70"/>
      <c r="CJ16" s="70"/>
      <c r="CK16" s="70"/>
      <c r="CL16" s="70"/>
      <c r="CM16" s="70"/>
      <c r="CN16" s="70"/>
      <c r="CO16" s="70"/>
      <c r="CP16" s="70"/>
      <c r="CQ16" s="70"/>
      <c r="CR16" s="70"/>
      <c r="CS16" s="70"/>
      <c r="CT16" s="70"/>
      <c r="CU16" s="70"/>
      <c r="CV16" s="70"/>
      <c r="CW16" s="70"/>
      <c r="CX16" s="70"/>
      <c r="CY16" s="70"/>
      <c r="CZ16" s="70"/>
      <c r="DA16" s="70"/>
      <c r="DB16" s="70"/>
      <c r="DC16" s="70"/>
      <c r="DD16" s="70"/>
      <c r="DE16" s="70"/>
      <c r="DF16" s="70"/>
      <c r="DG16" s="70"/>
      <c r="DH16" s="70"/>
      <c r="DI16" s="70"/>
      <c r="DJ16" s="70"/>
      <c r="DK16" s="70"/>
      <c r="DL16" s="70"/>
      <c r="DM16" s="70"/>
      <c r="DN16" s="70"/>
      <c r="DO16" s="70"/>
      <c r="DP16" s="70"/>
      <c r="DQ16" s="70"/>
      <c r="DR16" s="70"/>
      <c r="DS16" s="70"/>
      <c r="DT16" s="70"/>
      <c r="DU16" s="70"/>
      <c r="DV16" s="70"/>
      <c r="DW16" s="70"/>
      <c r="DX16" s="70"/>
      <c r="DY16" s="70"/>
      <c r="DZ16" s="70"/>
      <c r="EA16" s="70"/>
      <c r="EB16" s="70"/>
      <c r="EC16" s="70"/>
      <c r="ED16" s="70"/>
      <c r="EE16" s="70"/>
      <c r="EF16" s="70"/>
      <c r="EG16" s="70"/>
      <c r="EH16" s="70"/>
      <c r="EI16" s="70"/>
      <c r="EJ16" s="70"/>
      <c r="EK16" s="70"/>
      <c r="EL16" s="70"/>
      <c r="EM16" s="70"/>
      <c r="EN16" s="70"/>
      <c r="EO16" s="70"/>
      <c r="EP16" s="70"/>
      <c r="EQ16" s="70"/>
      <c r="ER16" s="70"/>
      <c r="ES16" s="70"/>
      <c r="ET16" s="70"/>
      <c r="EU16" s="70"/>
      <c r="EV16" s="70"/>
      <c r="EW16" s="70"/>
      <c r="EX16" s="70"/>
      <c r="EY16" s="70"/>
      <c r="EZ16" s="70"/>
      <c r="FA16" s="70"/>
      <c r="FB16" s="70"/>
      <c r="FC16" s="70"/>
      <c r="FD16" s="70"/>
      <c r="FE16" s="70"/>
      <c r="FF16" s="70"/>
      <c r="FG16" s="70"/>
      <c r="FH16" s="70"/>
      <c r="FI16" s="70"/>
      <c r="FJ16" s="70"/>
      <c r="FK16" s="70"/>
      <c r="FL16" s="70"/>
      <c r="FM16" s="70"/>
      <c r="FN16" s="70"/>
      <c r="FO16" s="70"/>
      <c r="FP16" s="70"/>
      <c r="FQ16" s="70"/>
      <c r="FR16" s="70"/>
      <c r="FS16" s="70"/>
      <c r="FT16" s="70"/>
      <c r="FU16" s="70"/>
      <c r="FV16" s="70"/>
      <c r="FW16" s="70"/>
      <c r="FX16" s="70"/>
      <c r="FY16" s="70"/>
      <c r="FZ16" s="70"/>
      <c r="GA16" s="70"/>
      <c r="GB16" s="70"/>
      <c r="GC16" s="70"/>
      <c r="GD16" s="70"/>
      <c r="GE16" s="70"/>
      <c r="GF16" s="70"/>
      <c r="GG16" s="70"/>
      <c r="GH16" s="70"/>
      <c r="GI16" s="70"/>
      <c r="GJ16" s="70"/>
      <c r="GK16" s="70"/>
      <c r="GL16" s="70"/>
      <c r="GM16" s="70"/>
      <c r="GN16" s="70"/>
      <c r="GO16" s="70"/>
      <c r="GP16" s="70"/>
      <c r="GQ16" s="70"/>
      <c r="GR16" s="70"/>
      <c r="GS16" s="70"/>
      <c r="GT16" s="70"/>
      <c r="GU16" s="70"/>
      <c r="GV16" s="70"/>
      <c r="GW16" s="70"/>
      <c r="GX16" s="70"/>
      <c r="GY16" s="70"/>
      <c r="GZ16" s="70"/>
      <c r="HA16" s="70"/>
      <c r="HB16" s="70"/>
      <c r="HC16" s="70"/>
      <c r="HD16" s="70"/>
      <c r="HE16" s="70"/>
      <c r="HF16" s="70"/>
      <c r="HG16" s="70"/>
      <c r="HH16" s="70"/>
      <c r="HI16" s="70"/>
      <c r="HJ16" s="70"/>
      <c r="HK16" s="70"/>
      <c r="HL16" s="70"/>
      <c r="HM16" s="70"/>
      <c r="HN16" s="70"/>
      <c r="HO16" s="70"/>
      <c r="HP16" s="70"/>
      <c r="HQ16" s="70"/>
      <c r="HR16" s="70"/>
      <c r="HS16" s="70"/>
      <c r="HT16" s="70"/>
      <c r="HU16" s="70"/>
      <c r="HV16" s="70"/>
      <c r="HW16" s="70"/>
      <c r="HX16" s="70"/>
      <c r="HY16" s="70"/>
      <c r="HZ16" s="70"/>
      <c r="IA16" s="70"/>
      <c r="IB16" s="70"/>
      <c r="IC16" s="70"/>
      <c r="ID16" s="70"/>
      <c r="IE16" s="70"/>
      <c r="IF16" s="70"/>
      <c r="IG16" s="70"/>
      <c r="IH16" s="70"/>
      <c r="II16" s="70"/>
      <c r="IJ16" s="70"/>
      <c r="IK16" s="70"/>
      <c r="IL16" s="70"/>
      <c r="IM16" s="70"/>
      <c r="IN16" s="70"/>
      <c r="IO16" s="70"/>
      <c r="IP16" s="70"/>
      <c r="IQ16" s="70"/>
      <c r="IR16" s="70"/>
      <c r="IS16" s="70"/>
      <c r="IT16" s="70"/>
      <c r="IU16" s="70"/>
      <c r="IV16" s="70"/>
      <c r="IW16" s="70"/>
      <c r="IX16" s="70"/>
      <c r="IY16" s="70"/>
      <c r="IZ16" s="70"/>
      <c r="JA16" s="70"/>
      <c r="JB16" s="70"/>
      <c r="JC16" s="70"/>
      <c r="JD16" s="70"/>
      <c r="JE16" s="70"/>
      <c r="JF16" s="70"/>
      <c r="JG16" s="70"/>
      <c r="JH16" s="70"/>
      <c r="JI16" s="70"/>
      <c r="JJ16" s="70"/>
      <c r="JK16" s="70"/>
      <c r="JL16" s="70"/>
      <c r="JM16" s="70"/>
      <c r="JN16" s="70"/>
      <c r="JO16" s="70"/>
      <c r="JP16" s="70"/>
      <c r="JQ16" s="70"/>
      <c r="JR16" s="70"/>
      <c r="JS16" s="70"/>
      <c r="JT16" s="70"/>
      <c r="JU16" s="70"/>
      <c r="JV16" s="70"/>
      <c r="JW16" s="70"/>
      <c r="JX16" s="70"/>
      <c r="JY16" s="70"/>
      <c r="JZ16" s="70"/>
      <c r="KA16" s="70"/>
      <c r="KB16" s="70"/>
      <c r="KC16" s="70"/>
      <c r="KD16" s="70"/>
      <c r="KE16" s="70"/>
      <c r="KF16" s="70"/>
      <c r="KG16" s="70"/>
      <c r="KH16" s="70"/>
      <c r="KI16" s="70"/>
      <c r="KJ16" s="70"/>
      <c r="KK16" s="70"/>
      <c r="KL16" s="70"/>
      <c r="KM16" s="70"/>
      <c r="KN16" s="70"/>
      <c r="KO16" s="70"/>
      <c r="KP16" s="70"/>
      <c r="KQ16" s="70"/>
      <c r="KR16" s="70"/>
      <c r="KS16" s="70"/>
      <c r="KT16" s="70"/>
      <c r="KU16" s="70"/>
      <c r="KV16" s="70"/>
      <c r="KW16" s="70"/>
      <c r="KX16" s="70"/>
      <c r="KY16" s="70"/>
      <c r="KZ16" s="70"/>
      <c r="LA16" s="70"/>
      <c r="LB16" s="70"/>
      <c r="LC16" s="70"/>
      <c r="LD16" s="70"/>
      <c r="LE16" s="70"/>
      <c r="LF16" s="70"/>
      <c r="LG16" s="70"/>
      <c r="LH16" s="70"/>
      <c r="LI16" s="70"/>
      <c r="LJ16" s="70"/>
      <c r="LK16" s="70"/>
      <c r="LL16" s="70"/>
      <c r="LM16" s="70"/>
      <c r="LN16" s="70"/>
      <c r="LO16" s="70"/>
      <c r="LP16" s="70"/>
      <c r="LQ16" s="70"/>
      <c r="LR16" s="70"/>
    </row>
    <row r="17" spans="22:330" s="67" customFormat="1" x14ac:dyDescent="0.25">
      <c r="V17" s="70"/>
      <c r="W17" s="70"/>
      <c r="X17" s="70"/>
      <c r="Y17" s="70"/>
      <c r="Z17" s="70"/>
      <c r="AA17" s="70"/>
      <c r="AB17" s="70"/>
      <c r="AC17" s="70"/>
      <c r="AD17" s="70"/>
      <c r="AE17" s="70"/>
      <c r="AF17" s="70"/>
      <c r="AG17" s="70"/>
      <c r="AH17" s="70"/>
      <c r="AI17" s="70"/>
      <c r="AJ17" s="70"/>
      <c r="AK17" s="70"/>
      <c r="AL17" s="70"/>
      <c r="AM17" s="70"/>
      <c r="AN17" s="70"/>
      <c r="AO17" s="70"/>
      <c r="AP17" s="70"/>
      <c r="AQ17" s="70"/>
      <c r="AR17" s="70"/>
      <c r="AS17" s="70"/>
      <c r="AT17" s="70"/>
      <c r="AU17" s="70"/>
      <c r="AV17" s="70"/>
      <c r="AW17" s="70"/>
      <c r="AX17" s="70"/>
      <c r="AY17" s="70"/>
      <c r="AZ17" s="70"/>
      <c r="BA17" s="70"/>
      <c r="BB17" s="70"/>
      <c r="BC17" s="70"/>
      <c r="BD17" s="70"/>
      <c r="BE17" s="70"/>
      <c r="BF17" s="70"/>
      <c r="BG17" s="70"/>
      <c r="BH17" s="70"/>
      <c r="BI17" s="70"/>
      <c r="BJ17" s="70"/>
      <c r="BK17" s="70"/>
      <c r="BL17" s="70"/>
      <c r="BM17" s="70"/>
      <c r="BN17" s="70"/>
      <c r="BO17" s="70"/>
      <c r="BP17" s="70"/>
      <c r="BQ17" s="70"/>
      <c r="BR17" s="70"/>
      <c r="BS17" s="70"/>
      <c r="BT17" s="70"/>
      <c r="BU17" s="70"/>
      <c r="BV17" s="70"/>
      <c r="BW17" s="70"/>
      <c r="BX17" s="70"/>
      <c r="BY17" s="70"/>
      <c r="BZ17" s="70"/>
      <c r="CA17" s="70"/>
      <c r="CB17" s="70"/>
      <c r="CC17" s="70"/>
      <c r="CD17" s="70"/>
      <c r="CE17" s="70"/>
      <c r="CF17" s="70"/>
      <c r="CG17" s="70"/>
      <c r="CH17" s="70"/>
      <c r="CI17" s="70"/>
      <c r="CJ17" s="70"/>
      <c r="CK17" s="70"/>
      <c r="CL17" s="70"/>
      <c r="CM17" s="70"/>
      <c r="CN17" s="70"/>
      <c r="CO17" s="70"/>
      <c r="CP17" s="70"/>
      <c r="CQ17" s="70"/>
      <c r="CR17" s="70"/>
      <c r="CS17" s="70"/>
      <c r="CT17" s="70"/>
      <c r="CU17" s="70"/>
      <c r="CV17" s="70"/>
      <c r="CW17" s="70"/>
      <c r="CX17" s="70"/>
      <c r="CY17" s="70"/>
      <c r="CZ17" s="70"/>
      <c r="DA17" s="70"/>
      <c r="DB17" s="70"/>
      <c r="DC17" s="70"/>
      <c r="DD17" s="70"/>
      <c r="DE17" s="70"/>
      <c r="DF17" s="70"/>
      <c r="DG17" s="70"/>
      <c r="DH17" s="70"/>
      <c r="DI17" s="70"/>
      <c r="DJ17" s="70"/>
      <c r="DK17" s="70"/>
      <c r="DL17" s="70"/>
      <c r="DM17" s="70"/>
      <c r="DN17" s="70"/>
      <c r="DO17" s="70"/>
      <c r="DP17" s="70"/>
      <c r="DQ17" s="70"/>
      <c r="DR17" s="70"/>
      <c r="DS17" s="70"/>
      <c r="DT17" s="70"/>
      <c r="DU17" s="70"/>
      <c r="DV17" s="70"/>
      <c r="DW17" s="70"/>
      <c r="DX17" s="70"/>
      <c r="DY17" s="70"/>
      <c r="DZ17" s="70"/>
      <c r="EA17" s="70"/>
      <c r="EB17" s="70"/>
      <c r="EC17" s="70"/>
      <c r="ED17" s="70"/>
      <c r="EE17" s="70"/>
      <c r="EF17" s="70"/>
      <c r="EG17" s="70"/>
      <c r="EH17" s="70"/>
      <c r="EI17" s="70"/>
      <c r="EJ17" s="70"/>
      <c r="EK17" s="70"/>
      <c r="EL17" s="70"/>
      <c r="EM17" s="70"/>
      <c r="EN17" s="70"/>
      <c r="EO17" s="70"/>
      <c r="EP17" s="70"/>
      <c r="EQ17" s="70"/>
      <c r="ER17" s="70"/>
      <c r="ES17" s="70"/>
      <c r="ET17" s="70"/>
      <c r="EU17" s="70"/>
      <c r="EV17" s="70"/>
      <c r="EW17" s="70"/>
      <c r="EX17" s="70"/>
      <c r="EY17" s="70"/>
      <c r="EZ17" s="70"/>
      <c r="FA17" s="70"/>
      <c r="FB17" s="70"/>
      <c r="FC17" s="70"/>
      <c r="FD17" s="70"/>
      <c r="FE17" s="70"/>
      <c r="FF17" s="70"/>
      <c r="FG17" s="70"/>
      <c r="FH17" s="70"/>
      <c r="FI17" s="70"/>
      <c r="FJ17" s="70"/>
      <c r="FK17" s="70"/>
      <c r="FL17" s="70"/>
      <c r="FM17" s="70"/>
      <c r="FN17" s="70"/>
      <c r="FO17" s="70"/>
      <c r="FP17" s="70"/>
      <c r="FQ17" s="70"/>
      <c r="FR17" s="70"/>
      <c r="FS17" s="70"/>
      <c r="FT17" s="70"/>
      <c r="FU17" s="70"/>
      <c r="FV17" s="70"/>
      <c r="FW17" s="70"/>
      <c r="FX17" s="70"/>
      <c r="FY17" s="70"/>
      <c r="FZ17" s="70"/>
      <c r="GA17" s="70"/>
      <c r="GB17" s="70"/>
      <c r="GC17" s="70"/>
      <c r="GD17" s="70"/>
      <c r="GE17" s="70"/>
      <c r="GF17" s="70"/>
      <c r="GG17" s="70"/>
      <c r="GH17" s="70"/>
      <c r="GI17" s="70"/>
      <c r="GJ17" s="70"/>
      <c r="GK17" s="70"/>
      <c r="GL17" s="70"/>
      <c r="GM17" s="70"/>
      <c r="GN17" s="70"/>
      <c r="GO17" s="70"/>
      <c r="GP17" s="70"/>
      <c r="GQ17" s="70"/>
      <c r="GR17" s="70"/>
      <c r="GS17" s="70"/>
      <c r="GT17" s="70"/>
      <c r="GU17" s="70"/>
      <c r="GV17" s="70"/>
      <c r="GW17" s="70"/>
      <c r="GX17" s="70"/>
      <c r="GY17" s="70"/>
      <c r="GZ17" s="70"/>
      <c r="HA17" s="70"/>
      <c r="HB17" s="70"/>
      <c r="HC17" s="70"/>
      <c r="HD17" s="70"/>
      <c r="HE17" s="70"/>
      <c r="HF17" s="70"/>
      <c r="HG17" s="70"/>
      <c r="HH17" s="70"/>
      <c r="HI17" s="70"/>
      <c r="HJ17" s="70"/>
      <c r="HK17" s="70"/>
      <c r="HL17" s="70"/>
      <c r="HM17" s="70"/>
      <c r="HN17" s="70"/>
      <c r="HO17" s="70"/>
      <c r="HP17" s="70"/>
      <c r="HQ17" s="70"/>
      <c r="HR17" s="70"/>
      <c r="HS17" s="70"/>
      <c r="HT17" s="70"/>
      <c r="HU17" s="70"/>
      <c r="HV17" s="70"/>
      <c r="HW17" s="70"/>
      <c r="HX17" s="70"/>
      <c r="HY17" s="70"/>
      <c r="HZ17" s="70"/>
      <c r="IA17" s="70"/>
      <c r="IB17" s="70"/>
      <c r="IC17" s="70"/>
      <c r="ID17" s="70"/>
      <c r="IE17" s="70"/>
      <c r="IF17" s="70"/>
      <c r="IG17" s="70"/>
      <c r="IH17" s="70"/>
      <c r="II17" s="70"/>
      <c r="IJ17" s="70"/>
      <c r="IK17" s="70"/>
      <c r="IL17" s="70"/>
      <c r="IM17" s="70"/>
      <c r="IN17" s="70"/>
      <c r="IO17" s="70"/>
      <c r="IP17" s="70"/>
      <c r="IQ17" s="70"/>
      <c r="IR17" s="70"/>
      <c r="IS17" s="70"/>
      <c r="IT17" s="70"/>
      <c r="IU17" s="70"/>
      <c r="IV17" s="70"/>
      <c r="IW17" s="70"/>
      <c r="IX17" s="70"/>
      <c r="IY17" s="70"/>
      <c r="IZ17" s="70"/>
      <c r="JA17" s="70"/>
      <c r="JB17" s="70"/>
      <c r="JC17" s="70"/>
      <c r="JD17" s="70"/>
      <c r="JE17" s="70"/>
      <c r="JF17" s="70"/>
      <c r="JG17" s="70"/>
      <c r="JH17" s="70"/>
      <c r="JI17" s="70"/>
      <c r="JJ17" s="70"/>
      <c r="JK17" s="70"/>
      <c r="JL17" s="70"/>
      <c r="JM17" s="70"/>
      <c r="JN17" s="70"/>
      <c r="JO17" s="70"/>
      <c r="JP17" s="70"/>
      <c r="JQ17" s="70"/>
      <c r="JR17" s="70"/>
      <c r="JS17" s="70"/>
      <c r="JT17" s="70"/>
      <c r="JU17" s="70"/>
      <c r="JV17" s="70"/>
      <c r="JW17" s="70"/>
      <c r="JX17" s="70"/>
      <c r="JY17" s="70"/>
      <c r="JZ17" s="70"/>
      <c r="KA17" s="70"/>
      <c r="KB17" s="70"/>
      <c r="KC17" s="70"/>
      <c r="KD17" s="70"/>
      <c r="KE17" s="70"/>
      <c r="KF17" s="70"/>
      <c r="KG17" s="70"/>
      <c r="KH17" s="70"/>
      <c r="KI17" s="70"/>
      <c r="KJ17" s="70"/>
      <c r="KK17" s="70"/>
      <c r="KL17" s="70"/>
      <c r="KM17" s="70"/>
      <c r="KN17" s="70"/>
      <c r="KO17" s="70"/>
      <c r="KP17" s="70"/>
      <c r="KQ17" s="70"/>
      <c r="KR17" s="70"/>
      <c r="KS17" s="70"/>
      <c r="KT17" s="70"/>
      <c r="KU17" s="70"/>
      <c r="KV17" s="70"/>
      <c r="KW17" s="70"/>
      <c r="KX17" s="70"/>
      <c r="KY17" s="70"/>
      <c r="KZ17" s="70"/>
      <c r="LA17" s="70"/>
      <c r="LB17" s="70"/>
      <c r="LC17" s="70"/>
      <c r="LD17" s="70"/>
      <c r="LE17" s="70"/>
      <c r="LF17" s="70"/>
      <c r="LG17" s="70"/>
      <c r="LH17" s="70"/>
      <c r="LI17" s="70"/>
      <c r="LJ17" s="70"/>
      <c r="LK17" s="70"/>
      <c r="LL17" s="70"/>
      <c r="LM17" s="70"/>
      <c r="LN17" s="70"/>
      <c r="LO17" s="70"/>
      <c r="LP17" s="70"/>
      <c r="LQ17" s="70"/>
      <c r="LR17" s="70"/>
    </row>
    <row r="18" spans="22:330" s="6" customFormat="1" x14ac:dyDescent="0.25">
      <c r="V18" s="7"/>
      <c r="W18" s="7"/>
      <c r="X18" s="7"/>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c r="BB18" s="7"/>
      <c r="BC18" s="7"/>
      <c r="BD18" s="7"/>
      <c r="BE18" s="7"/>
      <c r="BF18" s="7"/>
      <c r="BG18" s="7"/>
      <c r="BH18" s="7"/>
      <c r="BI18" s="7"/>
      <c r="BJ18" s="7"/>
      <c r="BK18" s="7"/>
      <c r="BL18" s="7"/>
      <c r="BM18" s="7"/>
      <c r="BN18" s="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c r="IW18" s="7"/>
      <c r="IX18" s="7"/>
      <c r="IY18" s="7"/>
      <c r="IZ18" s="7"/>
      <c r="JA18" s="7"/>
      <c r="JB18" s="7"/>
      <c r="JC18" s="7"/>
      <c r="JD18" s="7"/>
      <c r="JE18" s="7"/>
      <c r="JF18" s="7"/>
      <c r="JG18" s="7"/>
      <c r="JH18" s="7"/>
      <c r="JI18" s="7"/>
      <c r="JJ18" s="7"/>
      <c r="JK18" s="7"/>
      <c r="JL18" s="7"/>
      <c r="JM18" s="7"/>
      <c r="JN18" s="7"/>
      <c r="JO18" s="7"/>
      <c r="JP18" s="7"/>
      <c r="JQ18" s="7"/>
      <c r="JR18" s="7"/>
      <c r="JS18" s="7"/>
      <c r="JT18" s="7"/>
      <c r="JU18" s="7"/>
      <c r="JV18" s="7"/>
      <c r="JW18" s="7"/>
      <c r="JX18" s="7"/>
      <c r="JY18" s="7"/>
      <c r="JZ18" s="7"/>
      <c r="KA18" s="7"/>
      <c r="KB18" s="7"/>
      <c r="KC18" s="7"/>
      <c r="KD18" s="7"/>
      <c r="KE18" s="7"/>
      <c r="KF18" s="7"/>
      <c r="KG18" s="7"/>
      <c r="KH18" s="7"/>
      <c r="KI18" s="7"/>
      <c r="KJ18" s="7"/>
      <c r="KK18" s="7"/>
      <c r="KL18" s="7"/>
      <c r="KM18" s="7"/>
      <c r="KN18" s="7"/>
      <c r="KO18" s="7"/>
      <c r="KP18" s="7"/>
      <c r="KQ18" s="7"/>
      <c r="KR18" s="7"/>
      <c r="KS18" s="7"/>
      <c r="KT18" s="7"/>
      <c r="KU18" s="7"/>
      <c r="KV18" s="7"/>
      <c r="KW18" s="7"/>
      <c r="KX18" s="7"/>
      <c r="KY18" s="7"/>
      <c r="KZ18" s="7"/>
      <c r="LA18" s="7"/>
      <c r="LB18" s="7"/>
      <c r="LC18" s="7"/>
      <c r="LD18" s="7"/>
      <c r="LE18" s="7"/>
      <c r="LF18" s="7"/>
      <c r="LG18" s="7"/>
      <c r="LH18" s="7"/>
      <c r="LI18" s="7"/>
      <c r="LJ18" s="7"/>
      <c r="LK18" s="7"/>
      <c r="LL18" s="7"/>
      <c r="LM18" s="7"/>
      <c r="LN18" s="7"/>
      <c r="LO18" s="7"/>
      <c r="LP18" s="7"/>
      <c r="LQ18" s="7"/>
      <c r="LR18" s="7"/>
    </row>
    <row r="19" spans="22:330" s="6" customFormat="1" x14ac:dyDescent="0.25">
      <c r="V19" s="7"/>
      <c r="W19" s="7"/>
      <c r="X19" s="7"/>
      <c r="Y19" s="7"/>
      <c r="Z19" s="7"/>
      <c r="AA19" s="7"/>
      <c r="AB19" s="7"/>
      <c r="AC19" s="7"/>
      <c r="AD19" s="7"/>
      <c r="AE19" s="7"/>
      <c r="AF19" s="7"/>
      <c r="AG19" s="7"/>
      <c r="AH19" s="7"/>
      <c r="AI19" s="7"/>
      <c r="AJ19" s="7"/>
      <c r="AK19" s="7"/>
      <c r="AL19" s="7"/>
      <c r="AM19" s="7"/>
      <c r="AN19" s="7"/>
      <c r="AO19" s="7"/>
      <c r="AP19" s="7"/>
      <c r="AQ19" s="7"/>
      <c r="AR19" s="7"/>
      <c r="AS19" s="7"/>
      <c r="AT19" s="7"/>
      <c r="AU19" s="7"/>
      <c r="AV19" s="7"/>
      <c r="AW19" s="7"/>
      <c r="AX19" s="7"/>
      <c r="AY19" s="7"/>
      <c r="AZ19" s="7"/>
      <c r="BA19" s="7"/>
      <c r="BB19" s="7"/>
      <c r="BC19" s="7"/>
      <c r="BD19" s="7"/>
      <c r="BE19" s="7"/>
      <c r="BF19" s="7"/>
      <c r="BG19" s="7"/>
      <c r="BH19" s="7"/>
      <c r="BI19" s="7"/>
      <c r="BJ19" s="7"/>
      <c r="BK19" s="7"/>
      <c r="BL19" s="7"/>
      <c r="BM19" s="7"/>
      <c r="BN19" s="7"/>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c r="IW19" s="7"/>
      <c r="IX19" s="7"/>
      <c r="IY19" s="7"/>
      <c r="IZ19" s="7"/>
      <c r="JA19" s="7"/>
      <c r="JB19" s="7"/>
      <c r="JC19" s="7"/>
      <c r="JD19" s="7"/>
      <c r="JE19" s="7"/>
      <c r="JF19" s="7"/>
      <c r="JG19" s="7"/>
      <c r="JH19" s="7"/>
      <c r="JI19" s="7"/>
      <c r="JJ19" s="7"/>
      <c r="JK19" s="7"/>
      <c r="JL19" s="7"/>
      <c r="JM19" s="7"/>
      <c r="JN19" s="7"/>
      <c r="JO19" s="7"/>
      <c r="JP19" s="7"/>
      <c r="JQ19" s="7"/>
      <c r="JR19" s="7"/>
      <c r="JS19" s="7"/>
      <c r="JT19" s="7"/>
      <c r="JU19" s="7"/>
      <c r="JV19" s="7"/>
      <c r="JW19" s="7"/>
      <c r="JX19" s="7"/>
      <c r="JY19" s="7"/>
      <c r="JZ19" s="7"/>
      <c r="KA19" s="7"/>
      <c r="KB19" s="7"/>
      <c r="KC19" s="7"/>
      <c r="KD19" s="7"/>
      <c r="KE19" s="7"/>
      <c r="KF19" s="7"/>
      <c r="KG19" s="7"/>
      <c r="KH19" s="7"/>
      <c r="KI19" s="7"/>
      <c r="KJ19" s="7"/>
      <c r="KK19" s="7"/>
      <c r="KL19" s="7"/>
      <c r="KM19" s="7"/>
      <c r="KN19" s="7"/>
      <c r="KO19" s="7"/>
      <c r="KP19" s="7"/>
      <c r="KQ19" s="7"/>
      <c r="KR19" s="7"/>
      <c r="KS19" s="7"/>
      <c r="KT19" s="7"/>
      <c r="KU19" s="7"/>
      <c r="KV19" s="7"/>
      <c r="KW19" s="7"/>
      <c r="KX19" s="7"/>
      <c r="KY19" s="7"/>
      <c r="KZ19" s="7"/>
      <c r="LA19" s="7"/>
      <c r="LB19" s="7"/>
      <c r="LC19" s="7"/>
      <c r="LD19" s="7"/>
      <c r="LE19" s="7"/>
      <c r="LF19" s="7"/>
      <c r="LG19" s="7"/>
      <c r="LH19" s="7"/>
      <c r="LI19" s="7"/>
      <c r="LJ19" s="7"/>
      <c r="LK19" s="7"/>
      <c r="LL19" s="7"/>
      <c r="LM19" s="7"/>
      <c r="LN19" s="7"/>
      <c r="LO19" s="7"/>
      <c r="LP19" s="7"/>
      <c r="LQ19" s="7"/>
      <c r="LR19" s="7"/>
    </row>
    <row r="20" spans="22:330" s="6" customFormat="1" x14ac:dyDescent="0.25">
      <c r="V20" s="7"/>
      <c r="W20" s="7"/>
      <c r="X20" s="7"/>
      <c r="Y20" s="7"/>
      <c r="Z20" s="7"/>
      <c r="AA20" s="7"/>
      <c r="AB20" s="7"/>
      <c r="AC20" s="7"/>
      <c r="AD20" s="7"/>
      <c r="AE20" s="7"/>
      <c r="AF20" s="7"/>
      <c r="AG20" s="7"/>
      <c r="AH20" s="7"/>
      <c r="AI20" s="7"/>
      <c r="AJ20" s="7"/>
      <c r="AK20" s="7"/>
      <c r="AL20" s="7"/>
      <c r="AM20" s="7"/>
      <c r="AN20" s="7"/>
      <c r="AO20" s="7"/>
      <c r="AP20" s="7"/>
      <c r="AQ20" s="7"/>
      <c r="AR20" s="7"/>
      <c r="AS20" s="7"/>
      <c r="AT20" s="7"/>
      <c r="AU20" s="7"/>
      <c r="AV20" s="7"/>
      <c r="AW20" s="7"/>
      <c r="AX20" s="7"/>
      <c r="AY20" s="7"/>
      <c r="AZ20" s="7"/>
      <c r="BA20" s="7"/>
      <c r="BB20" s="7"/>
      <c r="BC20" s="7"/>
      <c r="BD20" s="7"/>
      <c r="BE20" s="7"/>
      <c r="BF20" s="7"/>
      <c r="BG20" s="7"/>
      <c r="BH20" s="7"/>
      <c r="BI20" s="7"/>
      <c r="BJ20" s="7"/>
      <c r="BK20" s="7"/>
      <c r="BL20" s="7"/>
      <c r="BM20" s="7"/>
      <c r="BN20" s="7"/>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c r="IW20" s="7"/>
      <c r="IX20" s="7"/>
      <c r="IY20" s="7"/>
      <c r="IZ20" s="7"/>
      <c r="JA20" s="7"/>
      <c r="JB20" s="7"/>
      <c r="JC20" s="7"/>
      <c r="JD20" s="7"/>
      <c r="JE20" s="7"/>
      <c r="JF20" s="7"/>
      <c r="JG20" s="7"/>
      <c r="JH20" s="7"/>
      <c r="JI20" s="7"/>
      <c r="JJ20" s="7"/>
      <c r="JK20" s="7"/>
      <c r="JL20" s="7"/>
      <c r="JM20" s="7"/>
      <c r="JN20" s="7"/>
      <c r="JO20" s="7"/>
      <c r="JP20" s="7"/>
      <c r="JQ20" s="7"/>
      <c r="JR20" s="7"/>
      <c r="JS20" s="7"/>
      <c r="JT20" s="7"/>
      <c r="JU20" s="7"/>
      <c r="JV20" s="7"/>
      <c r="JW20" s="7"/>
      <c r="JX20" s="7"/>
      <c r="JY20" s="7"/>
      <c r="JZ20" s="7"/>
      <c r="KA20" s="7"/>
      <c r="KB20" s="7"/>
      <c r="KC20" s="7"/>
      <c r="KD20" s="7"/>
      <c r="KE20" s="7"/>
      <c r="KF20" s="7"/>
      <c r="KG20" s="7"/>
      <c r="KH20" s="7"/>
      <c r="KI20" s="7"/>
      <c r="KJ20" s="7"/>
      <c r="KK20" s="7"/>
      <c r="KL20" s="7"/>
      <c r="KM20" s="7"/>
      <c r="KN20" s="7"/>
      <c r="KO20" s="7"/>
      <c r="KP20" s="7"/>
      <c r="KQ20" s="7"/>
      <c r="KR20" s="7"/>
      <c r="KS20" s="7"/>
      <c r="KT20" s="7"/>
      <c r="KU20" s="7"/>
      <c r="KV20" s="7"/>
      <c r="KW20" s="7"/>
      <c r="KX20" s="7"/>
      <c r="KY20" s="7"/>
      <c r="KZ20" s="7"/>
      <c r="LA20" s="7"/>
      <c r="LB20" s="7"/>
      <c r="LC20" s="7"/>
      <c r="LD20" s="7"/>
      <c r="LE20" s="7"/>
      <c r="LF20" s="7"/>
      <c r="LG20" s="7"/>
      <c r="LH20" s="7"/>
      <c r="LI20" s="7"/>
      <c r="LJ20" s="7"/>
      <c r="LK20" s="7"/>
      <c r="LL20" s="7"/>
      <c r="LM20" s="7"/>
      <c r="LN20" s="7"/>
      <c r="LO20" s="7"/>
      <c r="LP20" s="7"/>
      <c r="LQ20" s="7"/>
      <c r="LR20" s="7"/>
    </row>
    <row r="21" spans="22:330" s="6" customFormat="1" x14ac:dyDescent="0.25">
      <c r="V21" s="7"/>
      <c r="W21" s="7"/>
      <c r="X21" s="7"/>
      <c r="Y21" s="7"/>
      <c r="Z21" s="7"/>
      <c r="AA21" s="7"/>
      <c r="AB21" s="7"/>
      <c r="AC21" s="7"/>
      <c r="AD21" s="7"/>
      <c r="AE21" s="7"/>
      <c r="AF21" s="7"/>
      <c r="AG21" s="7"/>
      <c r="AH21" s="7"/>
      <c r="AI21" s="7"/>
      <c r="AJ21" s="7"/>
      <c r="AK21" s="7"/>
      <c r="AL21" s="7"/>
      <c r="AM21" s="7"/>
      <c r="AN21" s="7"/>
      <c r="AO21" s="7"/>
      <c r="AP21" s="7"/>
      <c r="AQ21" s="7"/>
      <c r="AR21" s="7"/>
      <c r="AS21" s="7"/>
      <c r="AT21" s="7"/>
      <c r="AU21" s="7"/>
      <c r="AV21" s="7"/>
      <c r="AW21" s="7"/>
      <c r="AX21" s="7"/>
      <c r="AY21" s="7"/>
      <c r="AZ21" s="7"/>
      <c r="BA21" s="7"/>
      <c r="BB21" s="7"/>
      <c r="BC21" s="7"/>
      <c r="BD21" s="7"/>
      <c r="BE21" s="7"/>
      <c r="BF21" s="7"/>
      <c r="BG21" s="7"/>
      <c r="BH21" s="7"/>
      <c r="BI21" s="7"/>
      <c r="BJ21" s="7"/>
      <c r="BK21" s="7"/>
      <c r="BL21" s="7"/>
      <c r="BM21" s="7"/>
      <c r="BN21" s="7"/>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c r="IW21" s="7"/>
      <c r="IX21" s="7"/>
      <c r="IY21" s="7"/>
      <c r="IZ21" s="7"/>
      <c r="JA21" s="7"/>
      <c r="JB21" s="7"/>
      <c r="JC21" s="7"/>
      <c r="JD21" s="7"/>
      <c r="JE21" s="7"/>
      <c r="JF21" s="7"/>
      <c r="JG21" s="7"/>
      <c r="JH21" s="7"/>
      <c r="JI21" s="7"/>
      <c r="JJ21" s="7"/>
      <c r="JK21" s="7"/>
      <c r="JL21" s="7"/>
      <c r="JM21" s="7"/>
      <c r="JN21" s="7"/>
      <c r="JO21" s="7"/>
      <c r="JP21" s="7"/>
      <c r="JQ21" s="7"/>
      <c r="JR21" s="7"/>
      <c r="JS21" s="7"/>
      <c r="JT21" s="7"/>
      <c r="JU21" s="7"/>
      <c r="JV21" s="7"/>
      <c r="JW21" s="7"/>
      <c r="JX21" s="7"/>
      <c r="JY21" s="7"/>
      <c r="JZ21" s="7"/>
      <c r="KA21" s="7"/>
      <c r="KB21" s="7"/>
      <c r="KC21" s="7"/>
      <c r="KD21" s="7"/>
      <c r="KE21" s="7"/>
      <c r="KF21" s="7"/>
      <c r="KG21" s="7"/>
      <c r="KH21" s="7"/>
      <c r="KI21" s="7"/>
      <c r="KJ21" s="7"/>
      <c r="KK21" s="7"/>
      <c r="KL21" s="7"/>
      <c r="KM21" s="7"/>
      <c r="KN21" s="7"/>
      <c r="KO21" s="7"/>
      <c r="KP21" s="7"/>
      <c r="KQ21" s="7"/>
      <c r="KR21" s="7"/>
      <c r="KS21" s="7"/>
      <c r="KT21" s="7"/>
      <c r="KU21" s="7"/>
      <c r="KV21" s="7"/>
      <c r="KW21" s="7"/>
      <c r="KX21" s="7"/>
      <c r="KY21" s="7"/>
      <c r="KZ21" s="7"/>
      <c r="LA21" s="7"/>
      <c r="LB21" s="7"/>
      <c r="LC21" s="7"/>
      <c r="LD21" s="7"/>
      <c r="LE21" s="7"/>
      <c r="LF21" s="7"/>
      <c r="LG21" s="7"/>
      <c r="LH21" s="7"/>
      <c r="LI21" s="7"/>
      <c r="LJ21" s="7"/>
      <c r="LK21" s="7"/>
      <c r="LL21" s="7"/>
      <c r="LM21" s="7"/>
      <c r="LN21" s="7"/>
      <c r="LO21" s="7"/>
      <c r="LP21" s="7"/>
      <c r="LQ21" s="7"/>
      <c r="LR21" s="7"/>
    </row>
    <row r="22" spans="22:330" s="6" customFormat="1" x14ac:dyDescent="0.25">
      <c r="V22" s="7"/>
      <c r="W22" s="7"/>
      <c r="X22" s="7"/>
      <c r="Y22" s="7"/>
      <c r="Z22" s="7"/>
      <c r="AA22" s="7"/>
      <c r="AB22" s="7"/>
      <c r="AC22" s="7"/>
      <c r="AD22" s="7"/>
      <c r="AE22" s="7"/>
      <c r="AF22" s="7"/>
      <c r="AG22" s="7"/>
      <c r="AH22" s="7"/>
      <c r="AI22" s="7"/>
      <c r="AJ22" s="7"/>
      <c r="AK22" s="7"/>
      <c r="AL22" s="7"/>
      <c r="AM22" s="7"/>
      <c r="AN22" s="7"/>
      <c r="AO22" s="7"/>
      <c r="AP22" s="7"/>
      <c r="AQ22" s="7"/>
      <c r="AR22" s="7"/>
      <c r="AS22" s="7"/>
      <c r="AT22" s="7"/>
      <c r="AU22" s="7"/>
      <c r="AV22" s="7"/>
      <c r="AW22" s="7"/>
      <c r="AX22" s="7"/>
      <c r="AY22" s="7"/>
      <c r="AZ22" s="7"/>
      <c r="BA22" s="7"/>
      <c r="BB22" s="7"/>
      <c r="BC22" s="7"/>
      <c r="BD22" s="7"/>
      <c r="BE22" s="7"/>
      <c r="BF22" s="7"/>
      <c r="BG22" s="7"/>
      <c r="BH22" s="7"/>
      <c r="BI22" s="7"/>
      <c r="BJ22" s="7"/>
      <c r="BK22" s="7"/>
      <c r="BL22" s="7"/>
      <c r="BM22" s="7"/>
      <c r="BN22" s="7"/>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c r="IW22" s="7"/>
      <c r="IX22" s="7"/>
      <c r="IY22" s="7"/>
      <c r="IZ22" s="7"/>
      <c r="JA22" s="7"/>
      <c r="JB22" s="7"/>
      <c r="JC22" s="7"/>
      <c r="JD22" s="7"/>
      <c r="JE22" s="7"/>
      <c r="JF22" s="7"/>
      <c r="JG22" s="7"/>
      <c r="JH22" s="7"/>
      <c r="JI22" s="7"/>
      <c r="JJ22" s="7"/>
      <c r="JK22" s="7"/>
      <c r="JL22" s="7"/>
      <c r="JM22" s="7"/>
      <c r="JN22" s="7"/>
      <c r="JO22" s="7"/>
      <c r="JP22" s="7"/>
      <c r="JQ22" s="7"/>
      <c r="JR22" s="7"/>
      <c r="JS22" s="7"/>
      <c r="JT22" s="7"/>
      <c r="JU22" s="7"/>
      <c r="JV22" s="7"/>
      <c r="JW22" s="7"/>
      <c r="JX22" s="7"/>
      <c r="JY22" s="7"/>
      <c r="JZ22" s="7"/>
      <c r="KA22" s="7"/>
      <c r="KB22" s="7"/>
      <c r="KC22" s="7"/>
      <c r="KD22" s="7"/>
      <c r="KE22" s="7"/>
      <c r="KF22" s="7"/>
      <c r="KG22" s="7"/>
      <c r="KH22" s="7"/>
      <c r="KI22" s="7"/>
      <c r="KJ22" s="7"/>
      <c r="KK22" s="7"/>
      <c r="KL22" s="7"/>
      <c r="KM22" s="7"/>
      <c r="KN22" s="7"/>
      <c r="KO22" s="7"/>
      <c r="KP22" s="7"/>
      <c r="KQ22" s="7"/>
      <c r="KR22" s="7"/>
      <c r="KS22" s="7"/>
      <c r="KT22" s="7"/>
      <c r="KU22" s="7"/>
      <c r="KV22" s="7"/>
      <c r="KW22" s="7"/>
      <c r="KX22" s="7"/>
      <c r="KY22" s="7"/>
      <c r="KZ22" s="7"/>
      <c r="LA22" s="7"/>
      <c r="LB22" s="7"/>
      <c r="LC22" s="7"/>
      <c r="LD22" s="7"/>
      <c r="LE22" s="7"/>
      <c r="LF22" s="7"/>
      <c r="LG22" s="7"/>
      <c r="LH22" s="7"/>
      <c r="LI22" s="7"/>
      <c r="LJ22" s="7"/>
      <c r="LK22" s="7"/>
      <c r="LL22" s="7"/>
      <c r="LM22" s="7"/>
      <c r="LN22" s="7"/>
      <c r="LO22" s="7"/>
      <c r="LP22" s="7"/>
      <c r="LQ22" s="7"/>
      <c r="LR22" s="7"/>
    </row>
    <row r="23" spans="22:330" s="6" customFormat="1" x14ac:dyDescent="0.25">
      <c r="V23" s="7"/>
      <c r="W23" s="7"/>
      <c r="X23" s="7"/>
      <c r="Y23" s="7"/>
      <c r="Z23" s="7"/>
      <c r="AA23" s="7"/>
      <c r="AB23" s="7"/>
      <c r="AC23" s="7"/>
      <c r="AD23" s="7"/>
      <c r="AE23" s="7"/>
      <c r="AF23" s="7"/>
      <c r="AG23" s="7"/>
      <c r="AH23" s="7"/>
      <c r="AI23" s="7"/>
      <c r="AJ23" s="7"/>
      <c r="AK23" s="7"/>
      <c r="AL23" s="7"/>
      <c r="AM23" s="7"/>
      <c r="AN23" s="7"/>
      <c r="AO23" s="7"/>
      <c r="AP23" s="7"/>
      <c r="AQ23" s="7"/>
      <c r="AR23" s="7"/>
      <c r="AS23" s="7"/>
      <c r="AT23" s="7"/>
      <c r="AU23" s="7"/>
      <c r="AV23" s="7"/>
      <c r="AW23" s="7"/>
      <c r="AX23" s="7"/>
      <c r="AY23" s="7"/>
      <c r="AZ23" s="7"/>
      <c r="BA23" s="7"/>
      <c r="BB23" s="7"/>
      <c r="BC23" s="7"/>
      <c r="BD23" s="7"/>
      <c r="BE23" s="7"/>
      <c r="BF23" s="7"/>
      <c r="BG23" s="7"/>
      <c r="BH23" s="7"/>
      <c r="BI23" s="7"/>
      <c r="BJ23" s="7"/>
      <c r="BK23" s="7"/>
      <c r="BL23" s="7"/>
      <c r="BM23" s="7"/>
      <c r="BN23" s="7"/>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c r="IW23" s="7"/>
      <c r="IX23" s="7"/>
      <c r="IY23" s="7"/>
      <c r="IZ23" s="7"/>
      <c r="JA23" s="7"/>
      <c r="JB23" s="7"/>
      <c r="JC23" s="7"/>
      <c r="JD23" s="7"/>
      <c r="JE23" s="7"/>
      <c r="JF23" s="7"/>
      <c r="JG23" s="7"/>
      <c r="JH23" s="7"/>
      <c r="JI23" s="7"/>
      <c r="JJ23" s="7"/>
      <c r="JK23" s="7"/>
      <c r="JL23" s="7"/>
      <c r="JM23" s="7"/>
      <c r="JN23" s="7"/>
      <c r="JO23" s="7"/>
      <c r="JP23" s="7"/>
      <c r="JQ23" s="7"/>
      <c r="JR23" s="7"/>
      <c r="JS23" s="7"/>
      <c r="JT23" s="7"/>
      <c r="JU23" s="7"/>
      <c r="JV23" s="7"/>
      <c r="JW23" s="7"/>
      <c r="JX23" s="7"/>
      <c r="JY23" s="7"/>
      <c r="JZ23" s="7"/>
      <c r="KA23" s="7"/>
      <c r="KB23" s="7"/>
      <c r="KC23" s="7"/>
      <c r="KD23" s="7"/>
      <c r="KE23" s="7"/>
      <c r="KF23" s="7"/>
      <c r="KG23" s="7"/>
      <c r="KH23" s="7"/>
      <c r="KI23" s="7"/>
      <c r="KJ23" s="7"/>
      <c r="KK23" s="7"/>
      <c r="KL23" s="7"/>
      <c r="KM23" s="7"/>
      <c r="KN23" s="7"/>
      <c r="KO23" s="7"/>
      <c r="KP23" s="7"/>
      <c r="KQ23" s="7"/>
      <c r="KR23" s="7"/>
      <c r="KS23" s="7"/>
      <c r="KT23" s="7"/>
      <c r="KU23" s="7"/>
      <c r="KV23" s="7"/>
      <c r="KW23" s="7"/>
      <c r="KX23" s="7"/>
      <c r="KY23" s="7"/>
      <c r="KZ23" s="7"/>
      <c r="LA23" s="7"/>
      <c r="LB23" s="7"/>
      <c r="LC23" s="7"/>
      <c r="LD23" s="7"/>
      <c r="LE23" s="7"/>
      <c r="LF23" s="7"/>
      <c r="LG23" s="7"/>
      <c r="LH23" s="7"/>
      <c r="LI23" s="7"/>
      <c r="LJ23" s="7"/>
      <c r="LK23" s="7"/>
      <c r="LL23" s="7"/>
      <c r="LM23" s="7"/>
      <c r="LN23" s="7"/>
      <c r="LO23" s="7"/>
      <c r="LP23" s="7"/>
      <c r="LQ23" s="7"/>
      <c r="LR23" s="7"/>
    </row>
    <row r="24" spans="22:330" s="6" customFormat="1" x14ac:dyDescent="0.25">
      <c r="V24" s="7"/>
      <c r="W24" s="7"/>
      <c r="X24" s="7"/>
      <c r="Y24" s="7"/>
      <c r="Z24" s="7"/>
      <c r="AA24" s="7"/>
      <c r="AB24" s="7"/>
      <c r="AC24" s="7"/>
      <c r="AD24" s="7"/>
      <c r="AE24" s="7"/>
      <c r="AF24" s="7"/>
      <c r="AG24" s="7"/>
      <c r="AH24" s="7"/>
      <c r="AI24" s="7"/>
      <c r="AJ24" s="7"/>
      <c r="AK24" s="7"/>
      <c r="AL24" s="7"/>
      <c r="AM24" s="7"/>
      <c r="AN24" s="7"/>
      <c r="AO24" s="7"/>
      <c r="AP24" s="7"/>
      <c r="AQ24" s="7"/>
      <c r="AR24" s="7"/>
      <c r="AS24" s="7"/>
      <c r="AT24" s="7"/>
      <c r="AU24" s="7"/>
      <c r="AV24" s="7"/>
      <c r="AW24" s="7"/>
      <c r="AX24" s="7"/>
      <c r="AY24" s="7"/>
      <c r="AZ24" s="7"/>
      <c r="BA24" s="7"/>
      <c r="BB24" s="7"/>
      <c r="BC24" s="7"/>
      <c r="BD24" s="7"/>
      <c r="BE24" s="7"/>
      <c r="BF24" s="7"/>
      <c r="BG24" s="7"/>
      <c r="BH24" s="7"/>
      <c r="BI24" s="7"/>
      <c r="BJ24" s="7"/>
      <c r="BK24" s="7"/>
      <c r="BL24" s="7"/>
      <c r="BM24" s="7"/>
      <c r="BN24" s="7"/>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c r="IW24" s="7"/>
      <c r="IX24" s="7"/>
      <c r="IY24" s="7"/>
      <c r="IZ24" s="7"/>
      <c r="JA24" s="7"/>
      <c r="JB24" s="7"/>
      <c r="JC24" s="7"/>
      <c r="JD24" s="7"/>
      <c r="JE24" s="7"/>
      <c r="JF24" s="7"/>
      <c r="JG24" s="7"/>
      <c r="JH24" s="7"/>
      <c r="JI24" s="7"/>
      <c r="JJ24" s="7"/>
      <c r="JK24" s="7"/>
      <c r="JL24" s="7"/>
      <c r="JM24" s="7"/>
      <c r="JN24" s="7"/>
      <c r="JO24" s="7"/>
      <c r="JP24" s="7"/>
      <c r="JQ24" s="7"/>
      <c r="JR24" s="7"/>
      <c r="JS24" s="7"/>
      <c r="JT24" s="7"/>
      <c r="JU24" s="7"/>
      <c r="JV24" s="7"/>
      <c r="JW24" s="7"/>
      <c r="JX24" s="7"/>
      <c r="JY24" s="7"/>
      <c r="JZ24" s="7"/>
      <c r="KA24" s="7"/>
      <c r="KB24" s="7"/>
      <c r="KC24" s="7"/>
      <c r="KD24" s="7"/>
      <c r="KE24" s="7"/>
      <c r="KF24" s="7"/>
      <c r="KG24" s="7"/>
      <c r="KH24" s="7"/>
      <c r="KI24" s="7"/>
      <c r="KJ24" s="7"/>
      <c r="KK24" s="7"/>
      <c r="KL24" s="7"/>
      <c r="KM24" s="7"/>
      <c r="KN24" s="7"/>
      <c r="KO24" s="7"/>
      <c r="KP24" s="7"/>
      <c r="KQ24" s="7"/>
      <c r="KR24" s="7"/>
      <c r="KS24" s="7"/>
      <c r="KT24" s="7"/>
      <c r="KU24" s="7"/>
      <c r="KV24" s="7"/>
      <c r="KW24" s="7"/>
      <c r="KX24" s="7"/>
      <c r="KY24" s="7"/>
      <c r="KZ24" s="7"/>
      <c r="LA24" s="7"/>
      <c r="LB24" s="7"/>
      <c r="LC24" s="7"/>
      <c r="LD24" s="7"/>
      <c r="LE24" s="7"/>
      <c r="LF24" s="7"/>
      <c r="LG24" s="7"/>
      <c r="LH24" s="7"/>
      <c r="LI24" s="7"/>
      <c r="LJ24" s="7"/>
      <c r="LK24" s="7"/>
      <c r="LL24" s="7"/>
      <c r="LM24" s="7"/>
      <c r="LN24" s="7"/>
      <c r="LO24" s="7"/>
      <c r="LP24" s="7"/>
      <c r="LQ24" s="7"/>
      <c r="LR24" s="7"/>
    </row>
    <row r="25" spans="22:330" s="6" customFormat="1" x14ac:dyDescent="0.25">
      <c r="V25" s="7"/>
      <c r="W25" s="7"/>
      <c r="X25" s="7"/>
      <c r="Y25" s="7"/>
      <c r="Z25" s="7"/>
      <c r="AA25" s="7"/>
      <c r="AB25" s="7"/>
      <c r="AC25" s="7"/>
      <c r="AD25" s="7"/>
      <c r="AE25" s="7"/>
      <c r="AF25" s="7"/>
      <c r="AG25" s="7"/>
      <c r="AH25" s="7"/>
      <c r="AI25" s="7"/>
      <c r="AJ25" s="7"/>
      <c r="AK25" s="7"/>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c r="IW25" s="7"/>
      <c r="IX25" s="7"/>
      <c r="IY25" s="7"/>
      <c r="IZ25" s="7"/>
      <c r="JA25" s="7"/>
      <c r="JB25" s="7"/>
      <c r="JC25" s="7"/>
      <c r="JD25" s="7"/>
      <c r="JE25" s="7"/>
      <c r="JF25" s="7"/>
      <c r="JG25" s="7"/>
      <c r="JH25" s="7"/>
      <c r="JI25" s="7"/>
      <c r="JJ25" s="7"/>
      <c r="JK25" s="7"/>
      <c r="JL25" s="7"/>
      <c r="JM25" s="7"/>
      <c r="JN25" s="7"/>
      <c r="JO25" s="7"/>
      <c r="JP25" s="7"/>
      <c r="JQ25" s="7"/>
      <c r="JR25" s="7"/>
      <c r="JS25" s="7"/>
      <c r="JT25" s="7"/>
      <c r="JU25" s="7"/>
      <c r="JV25" s="7"/>
      <c r="JW25" s="7"/>
      <c r="JX25" s="7"/>
      <c r="JY25" s="7"/>
      <c r="JZ25" s="7"/>
      <c r="KA25" s="7"/>
      <c r="KB25" s="7"/>
      <c r="KC25" s="7"/>
      <c r="KD25" s="7"/>
      <c r="KE25" s="7"/>
      <c r="KF25" s="7"/>
      <c r="KG25" s="7"/>
      <c r="KH25" s="7"/>
      <c r="KI25" s="7"/>
      <c r="KJ25" s="7"/>
      <c r="KK25" s="7"/>
      <c r="KL25" s="7"/>
      <c r="KM25" s="7"/>
      <c r="KN25" s="7"/>
      <c r="KO25" s="7"/>
      <c r="KP25" s="7"/>
      <c r="KQ25" s="7"/>
      <c r="KR25" s="7"/>
      <c r="KS25" s="7"/>
      <c r="KT25" s="7"/>
      <c r="KU25" s="7"/>
      <c r="KV25" s="7"/>
      <c r="KW25" s="7"/>
      <c r="KX25" s="7"/>
      <c r="KY25" s="7"/>
      <c r="KZ25" s="7"/>
      <c r="LA25" s="7"/>
      <c r="LB25" s="7"/>
      <c r="LC25" s="7"/>
      <c r="LD25" s="7"/>
      <c r="LE25" s="7"/>
      <c r="LF25" s="7"/>
      <c r="LG25" s="7"/>
      <c r="LH25" s="7"/>
      <c r="LI25" s="7"/>
      <c r="LJ25" s="7"/>
      <c r="LK25" s="7"/>
      <c r="LL25" s="7"/>
      <c r="LM25" s="7"/>
      <c r="LN25" s="7"/>
      <c r="LO25" s="7"/>
      <c r="LP25" s="7"/>
      <c r="LQ25" s="7"/>
      <c r="LR25" s="7"/>
    </row>
    <row r="26" spans="22:330" s="6" customFormat="1" x14ac:dyDescent="0.25">
      <c r="V26" s="7"/>
      <c r="W26" s="7"/>
      <c r="X26" s="7"/>
      <c r="Y26" s="7"/>
      <c r="Z26" s="7"/>
      <c r="AA26" s="7"/>
      <c r="AB26" s="7"/>
      <c r="AC26" s="7"/>
      <c r="AD26" s="7"/>
      <c r="AE26" s="7"/>
      <c r="AF26" s="7"/>
      <c r="AG26" s="7"/>
      <c r="AH26" s="7"/>
      <c r="AI26" s="7"/>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c r="IW26" s="7"/>
      <c r="IX26" s="7"/>
      <c r="IY26" s="7"/>
      <c r="IZ26" s="7"/>
      <c r="JA26" s="7"/>
      <c r="JB26" s="7"/>
      <c r="JC26" s="7"/>
      <c r="JD26" s="7"/>
      <c r="JE26" s="7"/>
      <c r="JF26" s="7"/>
      <c r="JG26" s="7"/>
      <c r="JH26" s="7"/>
      <c r="JI26" s="7"/>
      <c r="JJ26" s="7"/>
      <c r="JK26" s="7"/>
      <c r="JL26" s="7"/>
      <c r="JM26" s="7"/>
      <c r="JN26" s="7"/>
      <c r="JO26" s="7"/>
      <c r="JP26" s="7"/>
      <c r="JQ26" s="7"/>
      <c r="JR26" s="7"/>
      <c r="JS26" s="7"/>
      <c r="JT26" s="7"/>
      <c r="JU26" s="7"/>
      <c r="JV26" s="7"/>
      <c r="JW26" s="7"/>
      <c r="JX26" s="7"/>
      <c r="JY26" s="7"/>
      <c r="JZ26" s="7"/>
      <c r="KA26" s="7"/>
      <c r="KB26" s="7"/>
      <c r="KC26" s="7"/>
      <c r="KD26" s="7"/>
      <c r="KE26" s="7"/>
      <c r="KF26" s="7"/>
      <c r="KG26" s="7"/>
      <c r="KH26" s="7"/>
      <c r="KI26" s="7"/>
      <c r="KJ26" s="7"/>
      <c r="KK26" s="7"/>
      <c r="KL26" s="7"/>
      <c r="KM26" s="7"/>
      <c r="KN26" s="7"/>
      <c r="KO26" s="7"/>
      <c r="KP26" s="7"/>
      <c r="KQ26" s="7"/>
      <c r="KR26" s="7"/>
      <c r="KS26" s="7"/>
      <c r="KT26" s="7"/>
      <c r="KU26" s="7"/>
      <c r="KV26" s="7"/>
      <c r="KW26" s="7"/>
      <c r="KX26" s="7"/>
      <c r="KY26" s="7"/>
      <c r="KZ26" s="7"/>
      <c r="LA26" s="7"/>
      <c r="LB26" s="7"/>
      <c r="LC26" s="7"/>
      <c r="LD26" s="7"/>
      <c r="LE26" s="7"/>
      <c r="LF26" s="7"/>
      <c r="LG26" s="7"/>
      <c r="LH26" s="7"/>
      <c r="LI26" s="7"/>
      <c r="LJ26" s="7"/>
      <c r="LK26" s="7"/>
      <c r="LL26" s="7"/>
      <c r="LM26" s="7"/>
      <c r="LN26" s="7"/>
      <c r="LO26" s="7"/>
      <c r="LP26" s="7"/>
      <c r="LQ26" s="7"/>
      <c r="LR26" s="7"/>
    </row>
    <row r="27" spans="22:330" s="6" customFormat="1" x14ac:dyDescent="0.25">
      <c r="V27" s="7"/>
      <c r="W27" s="7"/>
      <c r="X27" s="7"/>
      <c r="Y27" s="7"/>
      <c r="Z27" s="7"/>
      <c r="AA27" s="7"/>
      <c r="AB27" s="7"/>
      <c r="AC27" s="7"/>
      <c r="AD27" s="7"/>
      <c r="AE27" s="7"/>
      <c r="AF27" s="7"/>
      <c r="AG27" s="7"/>
      <c r="AH27" s="7"/>
      <c r="AI27" s="7"/>
      <c r="AJ27" s="7"/>
      <c r="AK27" s="7"/>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c r="IW27" s="7"/>
      <c r="IX27" s="7"/>
      <c r="IY27" s="7"/>
      <c r="IZ27" s="7"/>
      <c r="JA27" s="7"/>
      <c r="JB27" s="7"/>
      <c r="JC27" s="7"/>
      <c r="JD27" s="7"/>
      <c r="JE27" s="7"/>
      <c r="JF27" s="7"/>
      <c r="JG27" s="7"/>
      <c r="JH27" s="7"/>
      <c r="JI27" s="7"/>
      <c r="JJ27" s="7"/>
      <c r="JK27" s="7"/>
      <c r="JL27" s="7"/>
      <c r="JM27" s="7"/>
      <c r="JN27" s="7"/>
      <c r="JO27" s="7"/>
      <c r="JP27" s="7"/>
      <c r="JQ27" s="7"/>
      <c r="JR27" s="7"/>
      <c r="JS27" s="7"/>
      <c r="JT27" s="7"/>
      <c r="JU27" s="7"/>
      <c r="JV27" s="7"/>
      <c r="JW27" s="7"/>
      <c r="JX27" s="7"/>
      <c r="JY27" s="7"/>
      <c r="JZ27" s="7"/>
      <c r="KA27" s="7"/>
      <c r="KB27" s="7"/>
      <c r="KC27" s="7"/>
      <c r="KD27" s="7"/>
      <c r="KE27" s="7"/>
      <c r="KF27" s="7"/>
      <c r="KG27" s="7"/>
      <c r="KH27" s="7"/>
      <c r="KI27" s="7"/>
      <c r="KJ27" s="7"/>
      <c r="KK27" s="7"/>
      <c r="KL27" s="7"/>
      <c r="KM27" s="7"/>
      <c r="KN27" s="7"/>
      <c r="KO27" s="7"/>
      <c r="KP27" s="7"/>
      <c r="KQ27" s="7"/>
      <c r="KR27" s="7"/>
      <c r="KS27" s="7"/>
      <c r="KT27" s="7"/>
      <c r="KU27" s="7"/>
      <c r="KV27" s="7"/>
      <c r="KW27" s="7"/>
      <c r="KX27" s="7"/>
      <c r="KY27" s="7"/>
      <c r="KZ27" s="7"/>
      <c r="LA27" s="7"/>
      <c r="LB27" s="7"/>
      <c r="LC27" s="7"/>
      <c r="LD27" s="7"/>
      <c r="LE27" s="7"/>
      <c r="LF27" s="7"/>
      <c r="LG27" s="7"/>
      <c r="LH27" s="7"/>
      <c r="LI27" s="7"/>
      <c r="LJ27" s="7"/>
      <c r="LK27" s="7"/>
      <c r="LL27" s="7"/>
      <c r="LM27" s="7"/>
      <c r="LN27" s="7"/>
      <c r="LO27" s="7"/>
      <c r="LP27" s="7"/>
      <c r="LQ27" s="7"/>
      <c r="LR27" s="7"/>
    </row>
    <row r="28" spans="22:330" s="6" customFormat="1" x14ac:dyDescent="0.25">
      <c r="V28" s="7"/>
      <c r="W28" s="7"/>
      <c r="X28" s="7"/>
      <c r="Y28" s="7"/>
      <c r="Z28" s="7"/>
      <c r="AA28" s="7"/>
      <c r="AB28" s="7"/>
      <c r="AC28" s="7"/>
      <c r="AD28" s="7"/>
      <c r="AE28" s="7"/>
      <c r="AF28" s="7"/>
      <c r="AG28" s="7"/>
      <c r="AH28" s="7"/>
      <c r="AI28" s="7"/>
      <c r="AJ28" s="7"/>
      <c r="AK28" s="7"/>
      <c r="AL28" s="7"/>
      <c r="AM28" s="7"/>
      <c r="AN28" s="7"/>
      <c r="AO28" s="7"/>
      <c r="AP28" s="7"/>
      <c r="AQ28" s="7"/>
      <c r="AR28" s="7"/>
      <c r="AS28" s="7"/>
      <c r="AT28" s="7"/>
      <c r="AU28" s="7"/>
      <c r="AV28" s="7"/>
      <c r="AW28" s="7"/>
      <c r="AX28" s="7"/>
      <c r="AY28" s="7"/>
      <c r="AZ28" s="7"/>
      <c r="BA28" s="7"/>
      <c r="BB28" s="7"/>
      <c r="BC28" s="7"/>
      <c r="BD28" s="7"/>
      <c r="BE28" s="7"/>
      <c r="BF28" s="7"/>
      <c r="BG28" s="7"/>
      <c r="BH28" s="7"/>
      <c r="BI28" s="7"/>
      <c r="BJ28" s="7"/>
      <c r="BK28" s="7"/>
      <c r="BL28" s="7"/>
      <c r="BM28" s="7"/>
      <c r="BN28" s="7"/>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c r="IW28" s="7"/>
      <c r="IX28" s="7"/>
      <c r="IY28" s="7"/>
      <c r="IZ28" s="7"/>
      <c r="JA28" s="7"/>
      <c r="JB28" s="7"/>
      <c r="JC28" s="7"/>
      <c r="JD28" s="7"/>
      <c r="JE28" s="7"/>
      <c r="JF28" s="7"/>
      <c r="JG28" s="7"/>
      <c r="JH28" s="7"/>
      <c r="JI28" s="7"/>
      <c r="JJ28" s="7"/>
      <c r="JK28" s="7"/>
      <c r="JL28" s="7"/>
      <c r="JM28" s="7"/>
      <c r="JN28" s="7"/>
      <c r="JO28" s="7"/>
      <c r="JP28" s="7"/>
      <c r="JQ28" s="7"/>
      <c r="JR28" s="7"/>
      <c r="JS28" s="7"/>
      <c r="JT28" s="7"/>
      <c r="JU28" s="7"/>
      <c r="JV28" s="7"/>
      <c r="JW28" s="7"/>
      <c r="JX28" s="7"/>
      <c r="JY28" s="7"/>
      <c r="JZ28" s="7"/>
      <c r="KA28" s="7"/>
      <c r="KB28" s="7"/>
      <c r="KC28" s="7"/>
      <c r="KD28" s="7"/>
      <c r="KE28" s="7"/>
      <c r="KF28" s="7"/>
      <c r="KG28" s="7"/>
      <c r="KH28" s="7"/>
      <c r="KI28" s="7"/>
      <c r="KJ28" s="7"/>
      <c r="KK28" s="7"/>
      <c r="KL28" s="7"/>
      <c r="KM28" s="7"/>
      <c r="KN28" s="7"/>
      <c r="KO28" s="7"/>
      <c r="KP28" s="7"/>
      <c r="KQ28" s="7"/>
      <c r="KR28" s="7"/>
      <c r="KS28" s="7"/>
      <c r="KT28" s="7"/>
      <c r="KU28" s="7"/>
      <c r="KV28" s="7"/>
      <c r="KW28" s="7"/>
      <c r="KX28" s="7"/>
      <c r="KY28" s="7"/>
      <c r="KZ28" s="7"/>
      <c r="LA28" s="7"/>
      <c r="LB28" s="7"/>
      <c r="LC28" s="7"/>
      <c r="LD28" s="7"/>
      <c r="LE28" s="7"/>
      <c r="LF28" s="7"/>
      <c r="LG28" s="7"/>
      <c r="LH28" s="7"/>
      <c r="LI28" s="7"/>
      <c r="LJ28" s="7"/>
      <c r="LK28" s="7"/>
      <c r="LL28" s="7"/>
      <c r="LM28" s="7"/>
      <c r="LN28" s="7"/>
      <c r="LO28" s="7"/>
      <c r="LP28" s="7"/>
      <c r="LQ28" s="7"/>
      <c r="LR28" s="7"/>
    </row>
    <row r="29" spans="22:330" s="6" customFormat="1" x14ac:dyDescent="0.25">
      <c r="V29" s="7"/>
      <c r="W29" s="7"/>
      <c r="X29" s="7"/>
      <c r="Y29" s="7"/>
      <c r="Z29" s="7"/>
      <c r="AA29" s="7"/>
      <c r="AB29" s="7"/>
      <c r="AC29" s="7"/>
      <c r="AD29" s="7"/>
      <c r="AE29" s="7"/>
      <c r="AF29" s="7"/>
      <c r="AG29" s="7"/>
      <c r="AH29" s="7"/>
      <c r="AI29" s="7"/>
      <c r="AJ29" s="7"/>
      <c r="AK29" s="7"/>
      <c r="AL29" s="7"/>
      <c r="AM29" s="7"/>
      <c r="AN29" s="7"/>
      <c r="AO29" s="7"/>
      <c r="AP29" s="7"/>
      <c r="AQ29" s="7"/>
      <c r="AR29" s="7"/>
      <c r="AS29" s="7"/>
      <c r="AT29" s="7"/>
      <c r="AU29" s="7"/>
      <c r="AV29" s="7"/>
      <c r="AW29" s="7"/>
      <c r="AX29" s="7"/>
      <c r="AY29" s="7"/>
      <c r="AZ29" s="7"/>
      <c r="BA29" s="7"/>
      <c r="BB29" s="7"/>
      <c r="BC29" s="7"/>
      <c r="BD29" s="7"/>
      <c r="BE29" s="7"/>
      <c r="BF29" s="7"/>
      <c r="BG29" s="7"/>
      <c r="BH29" s="7"/>
      <c r="BI29" s="7"/>
      <c r="BJ29" s="7"/>
      <c r="BK29" s="7"/>
      <c r="BL29" s="7"/>
      <c r="BM29" s="7"/>
      <c r="BN29" s="7"/>
      <c r="BO29" s="7"/>
      <c r="BP29" s="7"/>
      <c r="BQ29" s="7"/>
      <c r="BR29" s="7"/>
      <c r="BS29" s="7"/>
      <c r="BT29" s="7"/>
      <c r="BU29" s="7"/>
      <c r="BV29" s="7"/>
      <c r="BW29" s="7"/>
      <c r="BX29" s="7"/>
      <c r="BY29" s="7"/>
      <c r="BZ29" s="7"/>
      <c r="CA29" s="7"/>
      <c r="CB29" s="7"/>
      <c r="CC29" s="7"/>
      <c r="CD29" s="7"/>
      <c r="CE29" s="7"/>
      <c r="CF29" s="7"/>
      <c r="CG29" s="7"/>
      <c r="CH29" s="7"/>
      <c r="CI29" s="7"/>
      <c r="CJ29" s="7"/>
      <c r="CK29" s="7"/>
      <c r="CL29" s="7"/>
      <c r="CM29" s="7"/>
      <c r="CN29" s="7"/>
      <c r="CO29" s="7"/>
      <c r="CP29" s="7"/>
      <c r="CQ29" s="7"/>
      <c r="CR29" s="7"/>
      <c r="CS29" s="7"/>
      <c r="CT29" s="7"/>
      <c r="CU29" s="7"/>
      <c r="CV29" s="7"/>
      <c r="CW29" s="7"/>
      <c r="CX29" s="7"/>
      <c r="CY29" s="7"/>
      <c r="CZ29" s="7"/>
      <c r="DA29" s="7"/>
      <c r="DB29" s="7"/>
      <c r="DC29" s="7"/>
      <c r="DD29" s="7"/>
      <c r="DE29" s="7"/>
      <c r="DF29" s="7"/>
      <c r="DG29" s="7"/>
      <c r="DH29" s="7"/>
      <c r="DI29" s="7"/>
      <c r="DJ29" s="7"/>
      <c r="DK29" s="7"/>
      <c r="DL29" s="7"/>
      <c r="DM29" s="7"/>
      <c r="DN29" s="7"/>
      <c r="DO29" s="7"/>
      <c r="DP29" s="7"/>
      <c r="DQ29" s="7"/>
      <c r="DR29" s="7"/>
      <c r="DS29" s="7"/>
      <c r="DT29" s="7"/>
      <c r="DU29" s="7"/>
      <c r="DV29" s="7"/>
      <c r="DW29" s="7"/>
      <c r="DX29" s="7"/>
      <c r="DY29" s="7"/>
      <c r="DZ29" s="7"/>
      <c r="EA29" s="7"/>
      <c r="EB29" s="7"/>
      <c r="EC29" s="7"/>
      <c r="ED29" s="7"/>
      <c r="EE29" s="7"/>
      <c r="EF29" s="7"/>
      <c r="EG29" s="7"/>
      <c r="EH29" s="7"/>
      <c r="EI29" s="7"/>
      <c r="EJ29" s="7"/>
      <c r="EK29" s="7"/>
      <c r="EL29" s="7"/>
      <c r="EM29" s="7"/>
      <c r="EN29" s="7"/>
      <c r="EO29" s="7"/>
      <c r="EP29" s="7"/>
      <c r="EQ29" s="7"/>
      <c r="ER29" s="7"/>
      <c r="ES29" s="7"/>
      <c r="ET29" s="7"/>
      <c r="EU29" s="7"/>
      <c r="EV29" s="7"/>
      <c r="EW29" s="7"/>
      <c r="EX29" s="7"/>
      <c r="EY29" s="7"/>
      <c r="EZ29" s="7"/>
      <c r="FA29" s="7"/>
      <c r="FB29" s="7"/>
      <c r="FC29" s="7"/>
      <c r="FD29" s="7"/>
      <c r="FE29" s="7"/>
      <c r="FF29" s="7"/>
      <c r="FG29" s="7"/>
      <c r="FH29" s="7"/>
      <c r="FI29" s="7"/>
      <c r="FJ29" s="7"/>
      <c r="FK29" s="7"/>
      <c r="FL29" s="7"/>
      <c r="FM29" s="7"/>
      <c r="FN29" s="7"/>
      <c r="FO29" s="7"/>
      <c r="FP29" s="7"/>
      <c r="FQ29" s="7"/>
      <c r="FR29" s="7"/>
      <c r="FS29" s="7"/>
      <c r="FT29" s="7"/>
      <c r="FU29" s="7"/>
      <c r="FV29" s="7"/>
      <c r="FW29" s="7"/>
      <c r="FX29" s="7"/>
      <c r="FY29" s="7"/>
      <c r="FZ29" s="7"/>
      <c r="GA29" s="7"/>
      <c r="GB29" s="7"/>
      <c r="GC29" s="7"/>
      <c r="GD29" s="7"/>
      <c r="GE29" s="7"/>
      <c r="GF29" s="7"/>
      <c r="GG29" s="7"/>
      <c r="GH29" s="7"/>
      <c r="GI29" s="7"/>
      <c r="GJ29" s="7"/>
      <c r="GK29" s="7"/>
      <c r="GL29" s="7"/>
      <c r="GM29" s="7"/>
      <c r="GN29" s="7"/>
      <c r="GO29" s="7"/>
      <c r="GP29" s="7"/>
      <c r="GQ29" s="7"/>
      <c r="GR29" s="7"/>
      <c r="GS29" s="7"/>
      <c r="GT29" s="7"/>
      <c r="GU29" s="7"/>
      <c r="GV29" s="7"/>
      <c r="GW29" s="7"/>
      <c r="GX29" s="7"/>
      <c r="GY29" s="7"/>
      <c r="GZ29" s="7"/>
      <c r="HA29" s="7"/>
      <c r="HB29" s="7"/>
      <c r="HC29" s="7"/>
      <c r="HD29" s="7"/>
      <c r="HE29" s="7"/>
      <c r="HF29" s="7"/>
      <c r="HG29" s="7"/>
      <c r="HH29" s="7"/>
      <c r="HI29" s="7"/>
      <c r="HJ29" s="7"/>
      <c r="HK29" s="7"/>
      <c r="HL29" s="7"/>
      <c r="HM29" s="7"/>
      <c r="HN29" s="7"/>
      <c r="HO29" s="7"/>
      <c r="HP29" s="7"/>
      <c r="HQ29" s="7"/>
      <c r="HR29" s="7"/>
      <c r="HS29" s="7"/>
      <c r="HT29" s="7"/>
      <c r="HU29" s="7"/>
      <c r="HV29" s="7"/>
      <c r="HW29" s="7"/>
      <c r="HX29" s="7"/>
      <c r="HY29" s="7"/>
      <c r="HZ29" s="7"/>
      <c r="IA29" s="7"/>
      <c r="IB29" s="7"/>
      <c r="IC29" s="7"/>
      <c r="ID29" s="7"/>
      <c r="IE29" s="7"/>
      <c r="IF29" s="7"/>
      <c r="IG29" s="7"/>
      <c r="IH29" s="7"/>
      <c r="II29" s="7"/>
      <c r="IJ29" s="7"/>
      <c r="IK29" s="7"/>
      <c r="IL29" s="7"/>
      <c r="IM29" s="7"/>
      <c r="IN29" s="7"/>
      <c r="IO29" s="7"/>
      <c r="IP29" s="7"/>
      <c r="IQ29" s="7"/>
      <c r="IR29" s="7"/>
      <c r="IS29" s="7"/>
      <c r="IT29" s="7"/>
      <c r="IU29" s="7"/>
      <c r="IV29" s="7"/>
      <c r="IW29" s="7"/>
      <c r="IX29" s="7"/>
      <c r="IY29" s="7"/>
      <c r="IZ29" s="7"/>
      <c r="JA29" s="7"/>
      <c r="JB29" s="7"/>
      <c r="JC29" s="7"/>
      <c r="JD29" s="7"/>
      <c r="JE29" s="7"/>
      <c r="JF29" s="7"/>
      <c r="JG29" s="7"/>
      <c r="JH29" s="7"/>
      <c r="JI29" s="7"/>
      <c r="JJ29" s="7"/>
      <c r="JK29" s="7"/>
      <c r="JL29" s="7"/>
      <c r="JM29" s="7"/>
      <c r="JN29" s="7"/>
      <c r="JO29" s="7"/>
      <c r="JP29" s="7"/>
      <c r="JQ29" s="7"/>
      <c r="JR29" s="7"/>
      <c r="JS29" s="7"/>
      <c r="JT29" s="7"/>
      <c r="JU29" s="7"/>
      <c r="JV29" s="7"/>
      <c r="JW29" s="7"/>
      <c r="JX29" s="7"/>
      <c r="JY29" s="7"/>
      <c r="JZ29" s="7"/>
      <c r="KA29" s="7"/>
      <c r="KB29" s="7"/>
      <c r="KC29" s="7"/>
      <c r="KD29" s="7"/>
      <c r="KE29" s="7"/>
      <c r="KF29" s="7"/>
      <c r="KG29" s="7"/>
      <c r="KH29" s="7"/>
      <c r="KI29" s="7"/>
      <c r="KJ29" s="7"/>
      <c r="KK29" s="7"/>
      <c r="KL29" s="7"/>
      <c r="KM29" s="7"/>
      <c r="KN29" s="7"/>
      <c r="KO29" s="7"/>
      <c r="KP29" s="7"/>
      <c r="KQ29" s="7"/>
      <c r="KR29" s="7"/>
      <c r="KS29" s="7"/>
      <c r="KT29" s="7"/>
      <c r="KU29" s="7"/>
      <c r="KV29" s="7"/>
      <c r="KW29" s="7"/>
      <c r="KX29" s="7"/>
      <c r="KY29" s="7"/>
      <c r="KZ29" s="7"/>
      <c r="LA29" s="7"/>
      <c r="LB29" s="7"/>
      <c r="LC29" s="7"/>
      <c r="LD29" s="7"/>
      <c r="LE29" s="7"/>
      <c r="LF29" s="7"/>
      <c r="LG29" s="7"/>
      <c r="LH29" s="7"/>
      <c r="LI29" s="7"/>
      <c r="LJ29" s="7"/>
      <c r="LK29" s="7"/>
      <c r="LL29" s="7"/>
      <c r="LM29" s="7"/>
      <c r="LN29" s="7"/>
      <c r="LO29" s="7"/>
      <c r="LP29" s="7"/>
      <c r="LQ29" s="7"/>
      <c r="LR29" s="7"/>
    </row>
    <row r="30" spans="22:330" s="6" customFormat="1" x14ac:dyDescent="0.25">
      <c r="V30" s="7"/>
      <c r="W30" s="7"/>
      <c r="X30" s="7"/>
      <c r="Y30" s="7"/>
      <c r="Z30" s="7"/>
      <c r="AA30" s="7"/>
      <c r="AB30" s="7"/>
      <c r="AC30" s="7"/>
      <c r="AD30" s="7"/>
      <c r="AE30" s="7"/>
      <c r="AF30" s="7"/>
      <c r="AG30" s="7"/>
      <c r="AH30" s="7"/>
      <c r="AI30" s="7"/>
      <c r="AJ30" s="7"/>
      <c r="AK30" s="7"/>
      <c r="AL30" s="7"/>
      <c r="AM30" s="7"/>
      <c r="AN30" s="7"/>
      <c r="AO30" s="7"/>
      <c r="AP30" s="7"/>
      <c r="AQ30" s="7"/>
      <c r="AR30" s="7"/>
      <c r="AS30" s="7"/>
      <c r="AT30" s="7"/>
      <c r="AU30" s="7"/>
      <c r="AV30" s="7"/>
      <c r="AW30" s="7"/>
      <c r="AX30" s="7"/>
      <c r="AY30" s="7"/>
      <c r="AZ30" s="7"/>
      <c r="BA30" s="7"/>
      <c r="BB30" s="7"/>
      <c r="BC30" s="7"/>
      <c r="BD30" s="7"/>
      <c r="BE30" s="7"/>
      <c r="BF30" s="7"/>
      <c r="BG30" s="7"/>
      <c r="BH30" s="7"/>
      <c r="BI30" s="7"/>
      <c r="BJ30" s="7"/>
      <c r="BK30" s="7"/>
      <c r="BL30" s="7"/>
      <c r="BM30" s="7"/>
      <c r="BN30" s="7"/>
      <c r="BO30" s="7"/>
      <c r="BP30" s="7"/>
      <c r="BQ30" s="7"/>
      <c r="BR30" s="7"/>
      <c r="BS30" s="7"/>
      <c r="BT30" s="7"/>
      <c r="BU30" s="7"/>
      <c r="BV30" s="7"/>
      <c r="BW30" s="7"/>
      <c r="BX30" s="7"/>
      <c r="BY30" s="7"/>
      <c r="BZ30" s="7"/>
      <c r="CA30" s="7"/>
      <c r="CB30" s="7"/>
      <c r="CC30" s="7"/>
      <c r="CD30" s="7"/>
      <c r="CE30" s="7"/>
      <c r="CF30" s="7"/>
      <c r="CG30" s="7"/>
      <c r="CH30" s="7"/>
      <c r="CI30" s="7"/>
      <c r="CJ30" s="7"/>
      <c r="CK30" s="7"/>
      <c r="CL30" s="7"/>
      <c r="CM30" s="7"/>
      <c r="CN30" s="7"/>
      <c r="CO30" s="7"/>
      <c r="CP30" s="7"/>
      <c r="CQ30" s="7"/>
      <c r="CR30" s="7"/>
      <c r="CS30" s="7"/>
      <c r="CT30" s="7"/>
      <c r="CU30" s="7"/>
      <c r="CV30" s="7"/>
      <c r="CW30" s="7"/>
      <c r="CX30" s="7"/>
      <c r="CY30" s="7"/>
      <c r="CZ30" s="7"/>
      <c r="DA30" s="7"/>
      <c r="DB30" s="7"/>
      <c r="DC30" s="7"/>
      <c r="DD30" s="7"/>
      <c r="DE30" s="7"/>
      <c r="DF30" s="7"/>
      <c r="DG30" s="7"/>
      <c r="DH30" s="7"/>
      <c r="DI30" s="7"/>
      <c r="DJ30" s="7"/>
      <c r="DK30" s="7"/>
      <c r="DL30" s="7"/>
      <c r="DM30" s="7"/>
      <c r="DN30" s="7"/>
      <c r="DO30" s="7"/>
      <c r="DP30" s="7"/>
      <c r="DQ30" s="7"/>
      <c r="DR30" s="7"/>
      <c r="DS30" s="7"/>
      <c r="DT30" s="7"/>
      <c r="DU30" s="7"/>
      <c r="DV30" s="7"/>
      <c r="DW30" s="7"/>
      <c r="DX30" s="7"/>
      <c r="DY30" s="7"/>
      <c r="DZ30" s="7"/>
      <c r="EA30" s="7"/>
      <c r="EB30" s="7"/>
      <c r="EC30" s="7"/>
      <c r="ED30" s="7"/>
      <c r="EE30" s="7"/>
      <c r="EF30" s="7"/>
      <c r="EG30" s="7"/>
      <c r="EH30" s="7"/>
      <c r="EI30" s="7"/>
      <c r="EJ30" s="7"/>
      <c r="EK30" s="7"/>
      <c r="EL30" s="7"/>
      <c r="EM30" s="7"/>
      <c r="EN30" s="7"/>
      <c r="EO30" s="7"/>
      <c r="EP30" s="7"/>
      <c r="EQ30" s="7"/>
      <c r="ER30" s="7"/>
      <c r="ES30" s="7"/>
      <c r="ET30" s="7"/>
      <c r="EU30" s="7"/>
      <c r="EV30" s="7"/>
      <c r="EW30" s="7"/>
      <c r="EX30" s="7"/>
      <c r="EY30" s="7"/>
      <c r="EZ30" s="7"/>
      <c r="FA30" s="7"/>
      <c r="FB30" s="7"/>
      <c r="FC30" s="7"/>
      <c r="FD30" s="7"/>
      <c r="FE30" s="7"/>
      <c r="FF30" s="7"/>
      <c r="FG30" s="7"/>
      <c r="FH30" s="7"/>
      <c r="FI30" s="7"/>
      <c r="FJ30" s="7"/>
      <c r="FK30" s="7"/>
      <c r="FL30" s="7"/>
      <c r="FM30" s="7"/>
      <c r="FN30" s="7"/>
      <c r="FO30" s="7"/>
      <c r="FP30" s="7"/>
      <c r="FQ30" s="7"/>
      <c r="FR30" s="7"/>
      <c r="FS30" s="7"/>
      <c r="FT30" s="7"/>
      <c r="FU30" s="7"/>
      <c r="FV30" s="7"/>
      <c r="FW30" s="7"/>
      <c r="FX30" s="7"/>
      <c r="FY30" s="7"/>
      <c r="FZ30" s="7"/>
      <c r="GA30" s="7"/>
      <c r="GB30" s="7"/>
      <c r="GC30" s="7"/>
      <c r="GD30" s="7"/>
      <c r="GE30" s="7"/>
      <c r="GF30" s="7"/>
      <c r="GG30" s="7"/>
      <c r="GH30" s="7"/>
      <c r="GI30" s="7"/>
      <c r="GJ30" s="7"/>
      <c r="GK30" s="7"/>
      <c r="GL30" s="7"/>
      <c r="GM30" s="7"/>
      <c r="GN30" s="7"/>
      <c r="GO30" s="7"/>
      <c r="GP30" s="7"/>
      <c r="GQ30" s="7"/>
      <c r="GR30" s="7"/>
      <c r="GS30" s="7"/>
      <c r="GT30" s="7"/>
      <c r="GU30" s="7"/>
      <c r="GV30" s="7"/>
      <c r="GW30" s="7"/>
      <c r="GX30" s="7"/>
      <c r="GY30" s="7"/>
      <c r="GZ30" s="7"/>
      <c r="HA30" s="7"/>
      <c r="HB30" s="7"/>
      <c r="HC30" s="7"/>
      <c r="HD30" s="7"/>
      <c r="HE30" s="7"/>
      <c r="HF30" s="7"/>
      <c r="HG30" s="7"/>
      <c r="HH30" s="7"/>
      <c r="HI30" s="7"/>
      <c r="HJ30" s="7"/>
      <c r="HK30" s="7"/>
      <c r="HL30" s="7"/>
      <c r="HM30" s="7"/>
      <c r="HN30" s="7"/>
      <c r="HO30" s="7"/>
      <c r="HP30" s="7"/>
      <c r="HQ30" s="7"/>
      <c r="HR30" s="7"/>
      <c r="HS30" s="7"/>
      <c r="HT30" s="7"/>
      <c r="HU30" s="7"/>
      <c r="HV30" s="7"/>
      <c r="HW30" s="7"/>
      <c r="HX30" s="7"/>
      <c r="HY30" s="7"/>
      <c r="HZ30" s="7"/>
      <c r="IA30" s="7"/>
      <c r="IB30" s="7"/>
      <c r="IC30" s="7"/>
      <c r="ID30" s="7"/>
      <c r="IE30" s="7"/>
      <c r="IF30" s="7"/>
      <c r="IG30" s="7"/>
      <c r="IH30" s="7"/>
      <c r="II30" s="7"/>
      <c r="IJ30" s="7"/>
      <c r="IK30" s="7"/>
      <c r="IL30" s="7"/>
      <c r="IM30" s="7"/>
      <c r="IN30" s="7"/>
      <c r="IO30" s="7"/>
      <c r="IP30" s="7"/>
      <c r="IQ30" s="7"/>
      <c r="IR30" s="7"/>
      <c r="IS30" s="7"/>
      <c r="IT30" s="7"/>
      <c r="IU30" s="7"/>
      <c r="IV30" s="7"/>
      <c r="IW30" s="7"/>
      <c r="IX30" s="7"/>
      <c r="IY30" s="7"/>
      <c r="IZ30" s="7"/>
      <c r="JA30" s="7"/>
      <c r="JB30" s="7"/>
      <c r="JC30" s="7"/>
      <c r="JD30" s="7"/>
      <c r="JE30" s="7"/>
      <c r="JF30" s="7"/>
      <c r="JG30" s="7"/>
      <c r="JH30" s="7"/>
      <c r="JI30" s="7"/>
      <c r="JJ30" s="7"/>
      <c r="JK30" s="7"/>
      <c r="JL30" s="7"/>
      <c r="JM30" s="7"/>
      <c r="JN30" s="7"/>
      <c r="JO30" s="7"/>
      <c r="JP30" s="7"/>
      <c r="JQ30" s="7"/>
      <c r="JR30" s="7"/>
      <c r="JS30" s="7"/>
      <c r="JT30" s="7"/>
      <c r="JU30" s="7"/>
      <c r="JV30" s="7"/>
      <c r="JW30" s="7"/>
      <c r="JX30" s="7"/>
      <c r="JY30" s="7"/>
      <c r="JZ30" s="7"/>
      <c r="KA30" s="7"/>
      <c r="KB30" s="7"/>
      <c r="KC30" s="7"/>
      <c r="KD30" s="7"/>
      <c r="KE30" s="7"/>
      <c r="KF30" s="7"/>
      <c r="KG30" s="7"/>
      <c r="KH30" s="7"/>
      <c r="KI30" s="7"/>
      <c r="KJ30" s="7"/>
      <c r="KK30" s="7"/>
      <c r="KL30" s="7"/>
      <c r="KM30" s="7"/>
      <c r="KN30" s="7"/>
      <c r="KO30" s="7"/>
      <c r="KP30" s="7"/>
      <c r="KQ30" s="7"/>
      <c r="KR30" s="7"/>
      <c r="KS30" s="7"/>
      <c r="KT30" s="7"/>
      <c r="KU30" s="7"/>
      <c r="KV30" s="7"/>
      <c r="KW30" s="7"/>
      <c r="KX30" s="7"/>
      <c r="KY30" s="7"/>
      <c r="KZ30" s="7"/>
      <c r="LA30" s="7"/>
      <c r="LB30" s="7"/>
      <c r="LC30" s="7"/>
      <c r="LD30" s="7"/>
      <c r="LE30" s="7"/>
      <c r="LF30" s="7"/>
      <c r="LG30" s="7"/>
      <c r="LH30" s="7"/>
      <c r="LI30" s="7"/>
      <c r="LJ30" s="7"/>
      <c r="LK30" s="7"/>
      <c r="LL30" s="7"/>
      <c r="LM30" s="7"/>
      <c r="LN30" s="7"/>
      <c r="LO30" s="7"/>
      <c r="LP30" s="7"/>
      <c r="LQ30" s="7"/>
      <c r="LR30" s="7"/>
    </row>
    <row r="31" spans="22:330" s="6" customFormat="1" x14ac:dyDescent="0.25">
      <c r="V31" s="7"/>
      <c r="W31" s="7"/>
      <c r="X31" s="7"/>
      <c r="Y31" s="7"/>
      <c r="Z31" s="7"/>
      <c r="AA31" s="7"/>
      <c r="AB31" s="7"/>
      <c r="AC31" s="7"/>
      <c r="AD31" s="7"/>
      <c r="AE31" s="7"/>
      <c r="AF31" s="7"/>
      <c r="AG31" s="7"/>
      <c r="AH31" s="7"/>
      <c r="AI31" s="7"/>
      <c r="AJ31" s="7"/>
      <c r="AK31" s="7"/>
      <c r="AL31" s="7"/>
      <c r="AM31" s="7"/>
      <c r="AN31" s="7"/>
      <c r="AO31" s="7"/>
      <c r="AP31" s="7"/>
      <c r="AQ31" s="7"/>
      <c r="AR31" s="7"/>
      <c r="AS31" s="7"/>
      <c r="AT31" s="7"/>
      <c r="AU31" s="7"/>
      <c r="AV31" s="7"/>
      <c r="AW31" s="7"/>
      <c r="AX31" s="7"/>
      <c r="AY31" s="7"/>
      <c r="AZ31" s="7"/>
      <c r="BA31" s="7"/>
      <c r="BB31" s="7"/>
      <c r="BC31" s="7"/>
      <c r="BD31" s="7"/>
      <c r="BE31" s="7"/>
      <c r="BF31" s="7"/>
      <c r="BG31" s="7"/>
      <c r="BH31" s="7"/>
      <c r="BI31" s="7"/>
      <c r="BJ31" s="7"/>
      <c r="BK31" s="7"/>
      <c r="BL31" s="7"/>
      <c r="BM31" s="7"/>
      <c r="BN31" s="7"/>
      <c r="BO31" s="7"/>
      <c r="BP31" s="7"/>
      <c r="BQ31" s="7"/>
      <c r="BR31" s="7"/>
      <c r="BS31" s="7"/>
      <c r="BT31" s="7"/>
      <c r="BU31" s="7"/>
      <c r="BV31" s="7"/>
      <c r="BW31" s="7"/>
      <c r="BX31" s="7"/>
      <c r="BY31" s="7"/>
      <c r="BZ31" s="7"/>
      <c r="CA31" s="7"/>
      <c r="CB31" s="7"/>
      <c r="CC31" s="7"/>
      <c r="CD31" s="7"/>
      <c r="CE31" s="7"/>
      <c r="CF31" s="7"/>
      <c r="CG31" s="7"/>
      <c r="CH31" s="7"/>
      <c r="CI31" s="7"/>
      <c r="CJ31" s="7"/>
      <c r="CK31" s="7"/>
      <c r="CL31" s="7"/>
      <c r="CM31" s="7"/>
      <c r="CN31" s="7"/>
      <c r="CO31" s="7"/>
      <c r="CP31" s="7"/>
      <c r="CQ31" s="7"/>
      <c r="CR31" s="7"/>
      <c r="CS31" s="7"/>
      <c r="CT31" s="7"/>
      <c r="CU31" s="7"/>
      <c r="CV31" s="7"/>
      <c r="CW31" s="7"/>
      <c r="CX31" s="7"/>
      <c r="CY31" s="7"/>
      <c r="CZ31" s="7"/>
      <c r="DA31" s="7"/>
      <c r="DB31" s="7"/>
      <c r="DC31" s="7"/>
      <c r="DD31" s="7"/>
      <c r="DE31" s="7"/>
      <c r="DF31" s="7"/>
      <c r="DG31" s="7"/>
      <c r="DH31" s="7"/>
      <c r="DI31" s="7"/>
      <c r="DJ31" s="7"/>
      <c r="DK31" s="7"/>
      <c r="DL31" s="7"/>
      <c r="DM31" s="7"/>
      <c r="DN31" s="7"/>
      <c r="DO31" s="7"/>
      <c r="DP31" s="7"/>
      <c r="DQ31" s="7"/>
      <c r="DR31" s="7"/>
      <c r="DS31" s="7"/>
      <c r="DT31" s="7"/>
      <c r="DU31" s="7"/>
      <c r="DV31" s="7"/>
      <c r="DW31" s="7"/>
      <c r="DX31" s="7"/>
      <c r="DY31" s="7"/>
      <c r="DZ31" s="7"/>
      <c r="EA31" s="7"/>
      <c r="EB31" s="7"/>
      <c r="EC31" s="7"/>
      <c r="ED31" s="7"/>
      <c r="EE31" s="7"/>
      <c r="EF31" s="7"/>
      <c r="EG31" s="7"/>
      <c r="EH31" s="7"/>
      <c r="EI31" s="7"/>
      <c r="EJ31" s="7"/>
      <c r="EK31" s="7"/>
      <c r="EL31" s="7"/>
      <c r="EM31" s="7"/>
      <c r="EN31" s="7"/>
      <c r="EO31" s="7"/>
      <c r="EP31" s="7"/>
      <c r="EQ31" s="7"/>
      <c r="ER31" s="7"/>
      <c r="ES31" s="7"/>
      <c r="ET31" s="7"/>
      <c r="EU31" s="7"/>
      <c r="EV31" s="7"/>
      <c r="EW31" s="7"/>
      <c r="EX31" s="7"/>
      <c r="EY31" s="7"/>
      <c r="EZ31" s="7"/>
      <c r="FA31" s="7"/>
      <c r="FB31" s="7"/>
      <c r="FC31" s="7"/>
      <c r="FD31" s="7"/>
      <c r="FE31" s="7"/>
      <c r="FF31" s="7"/>
      <c r="FG31" s="7"/>
      <c r="FH31" s="7"/>
      <c r="FI31" s="7"/>
      <c r="FJ31" s="7"/>
      <c r="FK31" s="7"/>
      <c r="FL31" s="7"/>
      <c r="FM31" s="7"/>
      <c r="FN31" s="7"/>
      <c r="FO31" s="7"/>
      <c r="FP31" s="7"/>
      <c r="FQ31" s="7"/>
      <c r="FR31" s="7"/>
      <c r="FS31" s="7"/>
      <c r="FT31" s="7"/>
      <c r="FU31" s="7"/>
      <c r="FV31" s="7"/>
      <c r="FW31" s="7"/>
      <c r="FX31" s="7"/>
      <c r="FY31" s="7"/>
      <c r="FZ31" s="7"/>
      <c r="GA31" s="7"/>
      <c r="GB31" s="7"/>
      <c r="GC31" s="7"/>
      <c r="GD31" s="7"/>
      <c r="GE31" s="7"/>
      <c r="GF31" s="7"/>
      <c r="GG31" s="7"/>
      <c r="GH31" s="7"/>
      <c r="GI31" s="7"/>
      <c r="GJ31" s="7"/>
      <c r="GK31" s="7"/>
      <c r="GL31" s="7"/>
      <c r="GM31" s="7"/>
      <c r="GN31" s="7"/>
      <c r="GO31" s="7"/>
      <c r="GP31" s="7"/>
      <c r="GQ31" s="7"/>
      <c r="GR31" s="7"/>
      <c r="GS31" s="7"/>
      <c r="GT31" s="7"/>
      <c r="GU31" s="7"/>
      <c r="GV31" s="7"/>
      <c r="GW31" s="7"/>
      <c r="GX31" s="7"/>
      <c r="GY31" s="7"/>
      <c r="GZ31" s="7"/>
      <c r="HA31" s="7"/>
      <c r="HB31" s="7"/>
      <c r="HC31" s="7"/>
      <c r="HD31" s="7"/>
      <c r="HE31" s="7"/>
      <c r="HF31" s="7"/>
      <c r="HG31" s="7"/>
      <c r="HH31" s="7"/>
      <c r="HI31" s="7"/>
      <c r="HJ31" s="7"/>
      <c r="HK31" s="7"/>
      <c r="HL31" s="7"/>
      <c r="HM31" s="7"/>
      <c r="HN31" s="7"/>
      <c r="HO31" s="7"/>
      <c r="HP31" s="7"/>
      <c r="HQ31" s="7"/>
      <c r="HR31" s="7"/>
      <c r="HS31" s="7"/>
      <c r="HT31" s="7"/>
      <c r="HU31" s="7"/>
      <c r="HV31" s="7"/>
      <c r="HW31" s="7"/>
      <c r="HX31" s="7"/>
      <c r="HY31" s="7"/>
      <c r="HZ31" s="7"/>
      <c r="IA31" s="7"/>
      <c r="IB31" s="7"/>
      <c r="IC31" s="7"/>
      <c r="ID31" s="7"/>
      <c r="IE31" s="7"/>
      <c r="IF31" s="7"/>
      <c r="IG31" s="7"/>
      <c r="IH31" s="7"/>
      <c r="II31" s="7"/>
      <c r="IJ31" s="7"/>
      <c r="IK31" s="7"/>
      <c r="IL31" s="7"/>
      <c r="IM31" s="7"/>
      <c r="IN31" s="7"/>
      <c r="IO31" s="7"/>
      <c r="IP31" s="7"/>
      <c r="IQ31" s="7"/>
      <c r="IR31" s="7"/>
      <c r="IS31" s="7"/>
      <c r="IT31" s="7"/>
      <c r="IU31" s="7"/>
      <c r="IV31" s="7"/>
      <c r="IW31" s="7"/>
      <c r="IX31" s="7"/>
      <c r="IY31" s="7"/>
      <c r="IZ31" s="7"/>
      <c r="JA31" s="7"/>
      <c r="JB31" s="7"/>
      <c r="JC31" s="7"/>
      <c r="JD31" s="7"/>
      <c r="JE31" s="7"/>
      <c r="JF31" s="7"/>
      <c r="JG31" s="7"/>
      <c r="JH31" s="7"/>
      <c r="JI31" s="7"/>
      <c r="JJ31" s="7"/>
      <c r="JK31" s="7"/>
      <c r="JL31" s="7"/>
      <c r="JM31" s="7"/>
      <c r="JN31" s="7"/>
      <c r="JO31" s="7"/>
      <c r="JP31" s="7"/>
      <c r="JQ31" s="7"/>
      <c r="JR31" s="7"/>
      <c r="JS31" s="7"/>
      <c r="JT31" s="7"/>
      <c r="JU31" s="7"/>
      <c r="JV31" s="7"/>
      <c r="JW31" s="7"/>
      <c r="JX31" s="7"/>
      <c r="JY31" s="7"/>
      <c r="JZ31" s="7"/>
      <c r="KA31" s="7"/>
      <c r="KB31" s="7"/>
      <c r="KC31" s="7"/>
      <c r="KD31" s="7"/>
      <c r="KE31" s="7"/>
      <c r="KF31" s="7"/>
      <c r="KG31" s="7"/>
      <c r="KH31" s="7"/>
      <c r="KI31" s="7"/>
      <c r="KJ31" s="7"/>
      <c r="KK31" s="7"/>
      <c r="KL31" s="7"/>
      <c r="KM31" s="7"/>
      <c r="KN31" s="7"/>
      <c r="KO31" s="7"/>
      <c r="KP31" s="7"/>
      <c r="KQ31" s="7"/>
      <c r="KR31" s="7"/>
      <c r="KS31" s="7"/>
      <c r="KT31" s="7"/>
      <c r="KU31" s="7"/>
      <c r="KV31" s="7"/>
      <c r="KW31" s="7"/>
      <c r="KX31" s="7"/>
      <c r="KY31" s="7"/>
      <c r="KZ31" s="7"/>
      <c r="LA31" s="7"/>
      <c r="LB31" s="7"/>
      <c r="LC31" s="7"/>
      <c r="LD31" s="7"/>
      <c r="LE31" s="7"/>
      <c r="LF31" s="7"/>
      <c r="LG31" s="7"/>
      <c r="LH31" s="7"/>
      <c r="LI31" s="7"/>
      <c r="LJ31" s="7"/>
      <c r="LK31" s="7"/>
      <c r="LL31" s="7"/>
      <c r="LM31" s="7"/>
      <c r="LN31" s="7"/>
      <c r="LO31" s="7"/>
      <c r="LP31" s="7"/>
      <c r="LQ31" s="7"/>
      <c r="LR31" s="7"/>
    </row>
    <row r="32" spans="22:330" s="6" customFormat="1" x14ac:dyDescent="0.25">
      <c r="V32" s="7"/>
      <c r="W32" s="7"/>
      <c r="X32" s="7"/>
      <c r="Y32" s="7"/>
      <c r="Z32" s="7"/>
      <c r="AA32" s="7"/>
      <c r="AB32" s="7"/>
      <c r="AC32" s="7"/>
      <c r="AD32" s="7"/>
      <c r="AE32" s="7"/>
      <c r="AF32" s="7"/>
      <c r="AG32" s="7"/>
      <c r="AH32" s="7"/>
      <c r="AI32" s="7"/>
      <c r="AJ32" s="7"/>
      <c r="AK32" s="7"/>
      <c r="AL32" s="7"/>
      <c r="AM32" s="7"/>
      <c r="AN32" s="7"/>
      <c r="AO32" s="7"/>
      <c r="AP32" s="7"/>
      <c r="AQ32" s="7"/>
      <c r="AR32" s="7"/>
      <c r="AS32" s="7"/>
      <c r="AT32" s="7"/>
      <c r="AU32" s="7"/>
      <c r="AV32" s="7"/>
      <c r="AW32" s="7"/>
      <c r="AX32" s="7"/>
      <c r="AY32" s="7"/>
      <c r="AZ32" s="7"/>
      <c r="BA32" s="7"/>
      <c r="BB32" s="7"/>
      <c r="BC32" s="7"/>
      <c r="BD32" s="7"/>
      <c r="BE32" s="7"/>
      <c r="BF32" s="7"/>
      <c r="BG32" s="7"/>
      <c r="BH32" s="7"/>
      <c r="BI32" s="7"/>
      <c r="BJ32" s="7"/>
      <c r="BK32" s="7"/>
      <c r="BL32" s="7"/>
      <c r="BM32" s="7"/>
      <c r="BN32" s="7"/>
      <c r="BO32" s="7"/>
      <c r="BP32" s="7"/>
      <c r="BQ32" s="7"/>
      <c r="BR32" s="7"/>
      <c r="BS32" s="7"/>
      <c r="BT32" s="7"/>
      <c r="BU32" s="7"/>
      <c r="BV32" s="7"/>
      <c r="BW32" s="7"/>
      <c r="BX32" s="7"/>
      <c r="BY32" s="7"/>
      <c r="BZ32" s="7"/>
      <c r="CA32" s="7"/>
      <c r="CB32" s="7"/>
      <c r="CC32" s="7"/>
      <c r="CD32" s="7"/>
      <c r="CE32" s="7"/>
      <c r="CF32" s="7"/>
      <c r="CG32" s="7"/>
      <c r="CH32" s="7"/>
      <c r="CI32" s="7"/>
      <c r="CJ32" s="7"/>
      <c r="CK32" s="7"/>
      <c r="CL32" s="7"/>
      <c r="CM32" s="7"/>
      <c r="CN32" s="7"/>
      <c r="CO32" s="7"/>
      <c r="CP32" s="7"/>
      <c r="CQ32" s="7"/>
      <c r="CR32" s="7"/>
      <c r="CS32" s="7"/>
      <c r="CT32" s="7"/>
      <c r="CU32" s="7"/>
      <c r="CV32" s="7"/>
      <c r="CW32" s="7"/>
      <c r="CX32" s="7"/>
      <c r="CY32" s="7"/>
      <c r="CZ32" s="7"/>
      <c r="DA32" s="7"/>
      <c r="DB32" s="7"/>
      <c r="DC32" s="7"/>
      <c r="DD32" s="7"/>
      <c r="DE32" s="7"/>
      <c r="DF32" s="7"/>
      <c r="DG32" s="7"/>
      <c r="DH32" s="7"/>
      <c r="DI32" s="7"/>
      <c r="DJ32" s="7"/>
      <c r="DK32" s="7"/>
      <c r="DL32" s="7"/>
      <c r="DM32" s="7"/>
      <c r="DN32" s="7"/>
      <c r="DO32" s="7"/>
      <c r="DP32" s="7"/>
      <c r="DQ32" s="7"/>
      <c r="DR32" s="7"/>
      <c r="DS32" s="7"/>
      <c r="DT32" s="7"/>
      <c r="DU32" s="7"/>
      <c r="DV32" s="7"/>
      <c r="DW32" s="7"/>
      <c r="DX32" s="7"/>
      <c r="DY32" s="7"/>
      <c r="DZ32" s="7"/>
      <c r="EA32" s="7"/>
      <c r="EB32" s="7"/>
      <c r="EC32" s="7"/>
      <c r="ED32" s="7"/>
      <c r="EE32" s="7"/>
      <c r="EF32" s="7"/>
      <c r="EG32" s="7"/>
      <c r="EH32" s="7"/>
      <c r="EI32" s="7"/>
      <c r="EJ32" s="7"/>
      <c r="EK32" s="7"/>
      <c r="EL32" s="7"/>
      <c r="EM32" s="7"/>
      <c r="EN32" s="7"/>
      <c r="EO32" s="7"/>
      <c r="EP32" s="7"/>
      <c r="EQ32" s="7"/>
      <c r="ER32" s="7"/>
      <c r="ES32" s="7"/>
      <c r="ET32" s="7"/>
      <c r="EU32" s="7"/>
      <c r="EV32" s="7"/>
      <c r="EW32" s="7"/>
      <c r="EX32" s="7"/>
      <c r="EY32" s="7"/>
      <c r="EZ32" s="7"/>
      <c r="FA32" s="7"/>
      <c r="FB32" s="7"/>
      <c r="FC32" s="7"/>
      <c r="FD32" s="7"/>
      <c r="FE32" s="7"/>
      <c r="FF32" s="7"/>
      <c r="FG32" s="7"/>
      <c r="FH32" s="7"/>
      <c r="FI32" s="7"/>
      <c r="FJ32" s="7"/>
      <c r="FK32" s="7"/>
      <c r="FL32" s="7"/>
      <c r="FM32" s="7"/>
      <c r="FN32" s="7"/>
      <c r="FO32" s="7"/>
      <c r="FP32" s="7"/>
      <c r="FQ32" s="7"/>
      <c r="FR32" s="7"/>
      <c r="FS32" s="7"/>
      <c r="FT32" s="7"/>
      <c r="FU32" s="7"/>
      <c r="FV32" s="7"/>
      <c r="FW32" s="7"/>
      <c r="FX32" s="7"/>
      <c r="FY32" s="7"/>
      <c r="FZ32" s="7"/>
      <c r="GA32" s="7"/>
      <c r="GB32" s="7"/>
      <c r="GC32" s="7"/>
      <c r="GD32" s="7"/>
      <c r="GE32" s="7"/>
      <c r="GF32" s="7"/>
      <c r="GG32" s="7"/>
      <c r="GH32" s="7"/>
      <c r="GI32" s="7"/>
      <c r="GJ32" s="7"/>
      <c r="GK32" s="7"/>
      <c r="GL32" s="7"/>
      <c r="GM32" s="7"/>
      <c r="GN32" s="7"/>
      <c r="GO32" s="7"/>
      <c r="GP32" s="7"/>
      <c r="GQ32" s="7"/>
      <c r="GR32" s="7"/>
      <c r="GS32" s="7"/>
      <c r="GT32" s="7"/>
      <c r="GU32" s="7"/>
      <c r="GV32" s="7"/>
      <c r="GW32" s="7"/>
      <c r="GX32" s="7"/>
      <c r="GY32" s="7"/>
      <c r="GZ32" s="7"/>
      <c r="HA32" s="7"/>
      <c r="HB32" s="7"/>
      <c r="HC32" s="7"/>
      <c r="HD32" s="7"/>
      <c r="HE32" s="7"/>
      <c r="HF32" s="7"/>
      <c r="HG32" s="7"/>
      <c r="HH32" s="7"/>
      <c r="HI32" s="7"/>
      <c r="HJ32" s="7"/>
      <c r="HK32" s="7"/>
      <c r="HL32" s="7"/>
      <c r="HM32" s="7"/>
      <c r="HN32" s="7"/>
      <c r="HO32" s="7"/>
      <c r="HP32" s="7"/>
      <c r="HQ32" s="7"/>
      <c r="HR32" s="7"/>
      <c r="HS32" s="7"/>
      <c r="HT32" s="7"/>
      <c r="HU32" s="7"/>
      <c r="HV32" s="7"/>
      <c r="HW32" s="7"/>
      <c r="HX32" s="7"/>
      <c r="HY32" s="7"/>
      <c r="HZ32" s="7"/>
      <c r="IA32" s="7"/>
      <c r="IB32" s="7"/>
      <c r="IC32" s="7"/>
      <c r="ID32" s="7"/>
      <c r="IE32" s="7"/>
      <c r="IF32" s="7"/>
      <c r="IG32" s="7"/>
      <c r="IH32" s="7"/>
      <c r="II32" s="7"/>
      <c r="IJ32" s="7"/>
      <c r="IK32" s="7"/>
      <c r="IL32" s="7"/>
      <c r="IM32" s="7"/>
      <c r="IN32" s="7"/>
      <c r="IO32" s="7"/>
      <c r="IP32" s="7"/>
      <c r="IQ32" s="7"/>
      <c r="IR32" s="7"/>
      <c r="IS32" s="7"/>
      <c r="IT32" s="7"/>
      <c r="IU32" s="7"/>
      <c r="IV32" s="7"/>
      <c r="IW32" s="7"/>
      <c r="IX32" s="7"/>
      <c r="IY32" s="7"/>
      <c r="IZ32" s="7"/>
      <c r="JA32" s="7"/>
      <c r="JB32" s="7"/>
      <c r="JC32" s="7"/>
      <c r="JD32" s="7"/>
      <c r="JE32" s="7"/>
      <c r="JF32" s="7"/>
      <c r="JG32" s="7"/>
      <c r="JH32" s="7"/>
      <c r="JI32" s="7"/>
      <c r="JJ32" s="7"/>
      <c r="JK32" s="7"/>
      <c r="JL32" s="7"/>
      <c r="JM32" s="7"/>
      <c r="JN32" s="7"/>
      <c r="JO32" s="7"/>
      <c r="JP32" s="7"/>
      <c r="JQ32" s="7"/>
      <c r="JR32" s="7"/>
      <c r="JS32" s="7"/>
      <c r="JT32" s="7"/>
      <c r="JU32" s="7"/>
      <c r="JV32" s="7"/>
      <c r="JW32" s="7"/>
      <c r="JX32" s="7"/>
      <c r="JY32" s="7"/>
      <c r="JZ32" s="7"/>
      <c r="KA32" s="7"/>
      <c r="KB32" s="7"/>
      <c r="KC32" s="7"/>
      <c r="KD32" s="7"/>
      <c r="KE32" s="7"/>
      <c r="KF32" s="7"/>
      <c r="KG32" s="7"/>
      <c r="KH32" s="7"/>
      <c r="KI32" s="7"/>
      <c r="KJ32" s="7"/>
      <c r="KK32" s="7"/>
      <c r="KL32" s="7"/>
      <c r="KM32" s="7"/>
      <c r="KN32" s="7"/>
      <c r="KO32" s="7"/>
      <c r="KP32" s="7"/>
      <c r="KQ32" s="7"/>
      <c r="KR32" s="7"/>
      <c r="KS32" s="7"/>
      <c r="KT32" s="7"/>
      <c r="KU32" s="7"/>
      <c r="KV32" s="7"/>
      <c r="KW32" s="7"/>
      <c r="KX32" s="7"/>
      <c r="KY32" s="7"/>
      <c r="KZ32" s="7"/>
      <c r="LA32" s="7"/>
      <c r="LB32" s="7"/>
      <c r="LC32" s="7"/>
      <c r="LD32" s="7"/>
      <c r="LE32" s="7"/>
      <c r="LF32" s="7"/>
      <c r="LG32" s="7"/>
      <c r="LH32" s="7"/>
      <c r="LI32" s="7"/>
      <c r="LJ32" s="7"/>
      <c r="LK32" s="7"/>
      <c r="LL32" s="7"/>
      <c r="LM32" s="7"/>
      <c r="LN32" s="7"/>
      <c r="LO32" s="7"/>
      <c r="LP32" s="7"/>
      <c r="LQ32" s="7"/>
      <c r="LR32" s="7"/>
    </row>
    <row r="33" spans="22:330" s="6" customFormat="1" x14ac:dyDescent="0.25">
      <c r="V33" s="7"/>
      <c r="W33" s="7"/>
      <c r="X33" s="7"/>
      <c r="Y33" s="7"/>
      <c r="Z33" s="7"/>
      <c r="AA33" s="7"/>
      <c r="AB33" s="7"/>
      <c r="AC33" s="7"/>
      <c r="AD33" s="7"/>
      <c r="AE33" s="7"/>
      <c r="AF33" s="7"/>
      <c r="AG33" s="7"/>
      <c r="AH33" s="7"/>
      <c r="AI33" s="7"/>
      <c r="AJ33" s="7"/>
      <c r="AK33" s="7"/>
      <c r="AL33" s="7"/>
      <c r="AM33" s="7"/>
      <c r="AN33" s="7"/>
      <c r="AO33" s="7"/>
      <c r="AP33" s="7"/>
      <c r="AQ33" s="7"/>
      <c r="AR33" s="7"/>
      <c r="AS33" s="7"/>
      <c r="AT33" s="7"/>
      <c r="AU33" s="7"/>
      <c r="AV33" s="7"/>
      <c r="AW33" s="7"/>
      <c r="AX33" s="7"/>
      <c r="AY33" s="7"/>
      <c r="AZ33" s="7"/>
      <c r="BA33" s="7"/>
      <c r="BB33" s="7"/>
      <c r="BC33" s="7"/>
      <c r="BD33" s="7"/>
      <c r="BE33" s="7"/>
      <c r="BF33" s="7"/>
      <c r="BG33" s="7"/>
      <c r="BH33" s="7"/>
      <c r="BI33" s="7"/>
      <c r="BJ33" s="7"/>
      <c r="BK33" s="7"/>
      <c r="BL33" s="7"/>
      <c r="BM33" s="7"/>
      <c r="BN33" s="7"/>
      <c r="BO33" s="7"/>
      <c r="BP33" s="7"/>
      <c r="BQ33" s="7"/>
      <c r="BR33" s="7"/>
      <c r="BS33" s="7"/>
      <c r="BT33" s="7"/>
      <c r="BU33" s="7"/>
      <c r="BV33" s="7"/>
      <c r="BW33" s="7"/>
      <c r="BX33" s="7"/>
      <c r="BY33" s="7"/>
      <c r="BZ33" s="7"/>
      <c r="CA33" s="7"/>
      <c r="CB33" s="7"/>
      <c r="CC33" s="7"/>
      <c r="CD33" s="7"/>
      <c r="CE33" s="7"/>
      <c r="CF33" s="7"/>
      <c r="CG33" s="7"/>
      <c r="CH33" s="7"/>
      <c r="CI33" s="7"/>
      <c r="CJ33" s="7"/>
      <c r="CK33" s="7"/>
      <c r="CL33" s="7"/>
      <c r="CM33" s="7"/>
      <c r="CN33" s="7"/>
      <c r="CO33" s="7"/>
      <c r="CP33" s="7"/>
      <c r="CQ33" s="7"/>
      <c r="CR33" s="7"/>
      <c r="CS33" s="7"/>
      <c r="CT33" s="7"/>
      <c r="CU33" s="7"/>
      <c r="CV33" s="7"/>
      <c r="CW33" s="7"/>
      <c r="CX33" s="7"/>
      <c r="CY33" s="7"/>
      <c r="CZ33" s="7"/>
      <c r="DA33" s="7"/>
      <c r="DB33" s="7"/>
      <c r="DC33" s="7"/>
      <c r="DD33" s="7"/>
      <c r="DE33" s="7"/>
      <c r="DF33" s="7"/>
      <c r="DG33" s="7"/>
      <c r="DH33" s="7"/>
      <c r="DI33" s="7"/>
      <c r="DJ33" s="7"/>
      <c r="DK33" s="7"/>
      <c r="DL33" s="7"/>
      <c r="DM33" s="7"/>
      <c r="DN33" s="7"/>
      <c r="DO33" s="7"/>
      <c r="DP33" s="7"/>
      <c r="DQ33" s="7"/>
      <c r="DR33" s="7"/>
      <c r="DS33" s="7"/>
      <c r="DT33" s="7"/>
      <c r="DU33" s="7"/>
      <c r="DV33" s="7"/>
      <c r="DW33" s="7"/>
      <c r="DX33" s="7"/>
      <c r="DY33" s="7"/>
      <c r="DZ33" s="7"/>
      <c r="EA33" s="7"/>
      <c r="EB33" s="7"/>
      <c r="EC33" s="7"/>
      <c r="ED33" s="7"/>
      <c r="EE33" s="7"/>
      <c r="EF33" s="7"/>
      <c r="EG33" s="7"/>
      <c r="EH33" s="7"/>
      <c r="EI33" s="7"/>
      <c r="EJ33" s="7"/>
      <c r="EK33" s="7"/>
      <c r="EL33" s="7"/>
      <c r="EM33" s="7"/>
      <c r="EN33" s="7"/>
      <c r="EO33" s="7"/>
      <c r="EP33" s="7"/>
      <c r="EQ33" s="7"/>
      <c r="ER33" s="7"/>
      <c r="ES33" s="7"/>
      <c r="ET33" s="7"/>
      <c r="EU33" s="7"/>
      <c r="EV33" s="7"/>
      <c r="EW33" s="7"/>
      <c r="EX33" s="7"/>
      <c r="EY33" s="7"/>
      <c r="EZ33" s="7"/>
      <c r="FA33" s="7"/>
      <c r="FB33" s="7"/>
      <c r="FC33" s="7"/>
      <c r="FD33" s="7"/>
      <c r="FE33" s="7"/>
      <c r="FF33" s="7"/>
      <c r="FG33" s="7"/>
      <c r="FH33" s="7"/>
      <c r="FI33" s="7"/>
      <c r="FJ33" s="7"/>
      <c r="FK33" s="7"/>
      <c r="FL33" s="7"/>
      <c r="FM33" s="7"/>
      <c r="FN33" s="7"/>
      <c r="FO33" s="7"/>
      <c r="FP33" s="7"/>
      <c r="FQ33" s="7"/>
      <c r="FR33" s="7"/>
      <c r="FS33" s="7"/>
      <c r="FT33" s="7"/>
      <c r="FU33" s="7"/>
      <c r="FV33" s="7"/>
      <c r="FW33" s="7"/>
      <c r="FX33" s="7"/>
      <c r="FY33" s="7"/>
      <c r="FZ33" s="7"/>
      <c r="GA33" s="7"/>
      <c r="GB33" s="7"/>
      <c r="GC33" s="7"/>
      <c r="GD33" s="7"/>
      <c r="GE33" s="7"/>
      <c r="GF33" s="7"/>
      <c r="GG33" s="7"/>
      <c r="GH33" s="7"/>
      <c r="GI33" s="7"/>
      <c r="GJ33" s="7"/>
      <c r="GK33" s="7"/>
      <c r="GL33" s="7"/>
      <c r="GM33" s="7"/>
      <c r="GN33" s="7"/>
      <c r="GO33" s="7"/>
      <c r="GP33" s="7"/>
      <c r="GQ33" s="7"/>
      <c r="GR33" s="7"/>
      <c r="GS33" s="7"/>
      <c r="GT33" s="7"/>
      <c r="GU33" s="7"/>
      <c r="GV33" s="7"/>
      <c r="GW33" s="7"/>
      <c r="GX33" s="7"/>
      <c r="GY33" s="7"/>
      <c r="GZ33" s="7"/>
      <c r="HA33" s="7"/>
      <c r="HB33" s="7"/>
      <c r="HC33" s="7"/>
      <c r="HD33" s="7"/>
      <c r="HE33" s="7"/>
      <c r="HF33" s="7"/>
      <c r="HG33" s="7"/>
      <c r="HH33" s="7"/>
      <c r="HI33" s="7"/>
      <c r="HJ33" s="7"/>
      <c r="HK33" s="7"/>
      <c r="HL33" s="7"/>
      <c r="HM33" s="7"/>
      <c r="HN33" s="7"/>
      <c r="HO33" s="7"/>
      <c r="HP33" s="7"/>
      <c r="HQ33" s="7"/>
      <c r="HR33" s="7"/>
      <c r="HS33" s="7"/>
      <c r="HT33" s="7"/>
      <c r="HU33" s="7"/>
      <c r="HV33" s="7"/>
      <c r="HW33" s="7"/>
      <c r="HX33" s="7"/>
      <c r="HY33" s="7"/>
      <c r="HZ33" s="7"/>
      <c r="IA33" s="7"/>
      <c r="IB33" s="7"/>
      <c r="IC33" s="7"/>
      <c r="ID33" s="7"/>
      <c r="IE33" s="7"/>
      <c r="IF33" s="7"/>
      <c r="IG33" s="7"/>
      <c r="IH33" s="7"/>
      <c r="II33" s="7"/>
      <c r="IJ33" s="7"/>
      <c r="IK33" s="7"/>
      <c r="IL33" s="7"/>
      <c r="IM33" s="7"/>
      <c r="IN33" s="7"/>
      <c r="IO33" s="7"/>
      <c r="IP33" s="7"/>
      <c r="IQ33" s="7"/>
      <c r="IR33" s="7"/>
      <c r="IS33" s="7"/>
      <c r="IT33" s="7"/>
      <c r="IU33" s="7"/>
      <c r="IV33" s="7"/>
      <c r="IW33" s="7"/>
      <c r="IX33" s="7"/>
      <c r="IY33" s="7"/>
      <c r="IZ33" s="7"/>
      <c r="JA33" s="7"/>
      <c r="JB33" s="7"/>
      <c r="JC33" s="7"/>
      <c r="JD33" s="7"/>
      <c r="JE33" s="7"/>
      <c r="JF33" s="7"/>
      <c r="JG33" s="7"/>
      <c r="JH33" s="7"/>
      <c r="JI33" s="7"/>
      <c r="JJ33" s="7"/>
      <c r="JK33" s="7"/>
      <c r="JL33" s="7"/>
      <c r="JM33" s="7"/>
      <c r="JN33" s="7"/>
      <c r="JO33" s="7"/>
      <c r="JP33" s="7"/>
      <c r="JQ33" s="7"/>
      <c r="JR33" s="7"/>
      <c r="JS33" s="7"/>
      <c r="JT33" s="7"/>
      <c r="JU33" s="7"/>
      <c r="JV33" s="7"/>
      <c r="JW33" s="7"/>
      <c r="JX33" s="7"/>
      <c r="JY33" s="7"/>
      <c r="JZ33" s="7"/>
      <c r="KA33" s="7"/>
      <c r="KB33" s="7"/>
      <c r="KC33" s="7"/>
      <c r="KD33" s="7"/>
      <c r="KE33" s="7"/>
      <c r="KF33" s="7"/>
      <c r="KG33" s="7"/>
      <c r="KH33" s="7"/>
      <c r="KI33" s="7"/>
      <c r="KJ33" s="7"/>
      <c r="KK33" s="7"/>
      <c r="KL33" s="7"/>
      <c r="KM33" s="7"/>
      <c r="KN33" s="7"/>
      <c r="KO33" s="7"/>
      <c r="KP33" s="7"/>
      <c r="KQ33" s="7"/>
      <c r="KR33" s="7"/>
      <c r="KS33" s="7"/>
      <c r="KT33" s="7"/>
      <c r="KU33" s="7"/>
      <c r="KV33" s="7"/>
      <c r="KW33" s="7"/>
      <c r="KX33" s="7"/>
      <c r="KY33" s="7"/>
      <c r="KZ33" s="7"/>
      <c r="LA33" s="7"/>
      <c r="LB33" s="7"/>
      <c r="LC33" s="7"/>
      <c r="LD33" s="7"/>
      <c r="LE33" s="7"/>
      <c r="LF33" s="7"/>
      <c r="LG33" s="7"/>
      <c r="LH33" s="7"/>
      <c r="LI33" s="7"/>
      <c r="LJ33" s="7"/>
      <c r="LK33" s="7"/>
      <c r="LL33" s="7"/>
      <c r="LM33" s="7"/>
      <c r="LN33" s="7"/>
      <c r="LO33" s="7"/>
      <c r="LP33" s="7"/>
      <c r="LQ33" s="7"/>
      <c r="LR33" s="7"/>
    </row>
    <row r="34" spans="22:330" s="6" customFormat="1" x14ac:dyDescent="0.25">
      <c r="V34" s="7"/>
      <c r="W34" s="7"/>
      <c r="X34" s="7"/>
      <c r="Y34" s="7"/>
      <c r="Z34" s="7"/>
      <c r="AA34" s="7"/>
      <c r="AB34" s="7"/>
      <c r="AC34" s="7"/>
      <c r="AD34" s="7"/>
      <c r="AE34" s="7"/>
      <c r="AF34" s="7"/>
      <c r="AG34" s="7"/>
      <c r="AH34" s="7"/>
      <c r="AI34" s="7"/>
      <c r="AJ34" s="7"/>
      <c r="AK34" s="7"/>
      <c r="AL34" s="7"/>
      <c r="AM34" s="7"/>
      <c r="AN34" s="7"/>
      <c r="AO34" s="7"/>
      <c r="AP34" s="7"/>
      <c r="AQ34" s="7"/>
      <c r="AR34" s="7"/>
      <c r="AS34" s="7"/>
      <c r="AT34" s="7"/>
      <c r="AU34" s="7"/>
      <c r="AV34" s="7"/>
      <c r="AW34" s="7"/>
      <c r="AX34" s="7"/>
      <c r="AY34" s="7"/>
      <c r="AZ34" s="7"/>
      <c r="BA34" s="7"/>
      <c r="BB34" s="7"/>
      <c r="BC34" s="7"/>
      <c r="BD34" s="7"/>
      <c r="BE34" s="7"/>
      <c r="BF34" s="7"/>
      <c r="BG34" s="7"/>
      <c r="BH34" s="7"/>
      <c r="BI34" s="7"/>
      <c r="BJ34" s="7"/>
      <c r="BK34" s="7"/>
      <c r="BL34" s="7"/>
      <c r="BM34" s="7"/>
      <c r="BN34" s="7"/>
      <c r="BO34" s="7"/>
      <c r="BP34" s="7"/>
      <c r="BQ34" s="7"/>
      <c r="BR34" s="7"/>
      <c r="BS34" s="7"/>
      <c r="BT34" s="7"/>
      <c r="BU34" s="7"/>
      <c r="BV34" s="7"/>
      <c r="BW34" s="7"/>
      <c r="BX34" s="7"/>
      <c r="BY34" s="7"/>
      <c r="BZ34" s="7"/>
      <c r="CA34" s="7"/>
      <c r="CB34" s="7"/>
      <c r="CC34" s="7"/>
      <c r="CD34" s="7"/>
      <c r="CE34" s="7"/>
      <c r="CF34" s="7"/>
      <c r="CG34" s="7"/>
      <c r="CH34" s="7"/>
      <c r="CI34" s="7"/>
      <c r="CJ34" s="7"/>
      <c r="CK34" s="7"/>
      <c r="CL34" s="7"/>
      <c r="CM34" s="7"/>
      <c r="CN34" s="7"/>
      <c r="CO34" s="7"/>
      <c r="CP34" s="7"/>
      <c r="CQ34" s="7"/>
      <c r="CR34" s="7"/>
      <c r="CS34" s="7"/>
      <c r="CT34" s="7"/>
      <c r="CU34" s="7"/>
      <c r="CV34" s="7"/>
      <c r="CW34" s="7"/>
      <c r="CX34" s="7"/>
      <c r="CY34" s="7"/>
      <c r="CZ34" s="7"/>
      <c r="DA34" s="7"/>
      <c r="DB34" s="7"/>
      <c r="DC34" s="7"/>
      <c r="DD34" s="7"/>
      <c r="DE34" s="7"/>
      <c r="DF34" s="7"/>
      <c r="DG34" s="7"/>
      <c r="DH34" s="7"/>
      <c r="DI34" s="7"/>
      <c r="DJ34" s="7"/>
      <c r="DK34" s="7"/>
      <c r="DL34" s="7"/>
      <c r="DM34" s="7"/>
      <c r="DN34" s="7"/>
      <c r="DO34" s="7"/>
      <c r="DP34" s="7"/>
      <c r="DQ34" s="7"/>
      <c r="DR34" s="7"/>
      <c r="DS34" s="7"/>
      <c r="DT34" s="7"/>
      <c r="DU34" s="7"/>
      <c r="DV34" s="7"/>
      <c r="DW34" s="7"/>
      <c r="DX34" s="7"/>
      <c r="DY34" s="7"/>
      <c r="DZ34" s="7"/>
      <c r="EA34" s="7"/>
      <c r="EB34" s="7"/>
      <c r="EC34" s="7"/>
      <c r="ED34" s="7"/>
      <c r="EE34" s="7"/>
      <c r="EF34" s="7"/>
      <c r="EG34" s="7"/>
      <c r="EH34" s="7"/>
      <c r="EI34" s="7"/>
      <c r="EJ34" s="7"/>
      <c r="EK34" s="7"/>
      <c r="EL34" s="7"/>
      <c r="EM34" s="7"/>
      <c r="EN34" s="7"/>
      <c r="EO34" s="7"/>
      <c r="EP34" s="7"/>
      <c r="EQ34" s="7"/>
      <c r="ER34" s="7"/>
      <c r="ES34" s="7"/>
      <c r="ET34" s="7"/>
      <c r="EU34" s="7"/>
      <c r="EV34" s="7"/>
      <c r="EW34" s="7"/>
      <c r="EX34" s="7"/>
      <c r="EY34" s="7"/>
      <c r="EZ34" s="7"/>
      <c r="FA34" s="7"/>
      <c r="FB34" s="7"/>
      <c r="FC34" s="7"/>
      <c r="FD34" s="7"/>
      <c r="FE34" s="7"/>
      <c r="FF34" s="7"/>
      <c r="FG34" s="7"/>
      <c r="FH34" s="7"/>
      <c r="FI34" s="7"/>
      <c r="FJ34" s="7"/>
      <c r="FK34" s="7"/>
      <c r="FL34" s="7"/>
      <c r="FM34" s="7"/>
      <c r="FN34" s="7"/>
      <c r="FO34" s="7"/>
      <c r="FP34" s="7"/>
      <c r="FQ34" s="7"/>
      <c r="FR34" s="7"/>
      <c r="FS34" s="7"/>
      <c r="FT34" s="7"/>
      <c r="FU34" s="7"/>
      <c r="FV34" s="7"/>
      <c r="FW34" s="7"/>
      <c r="FX34" s="7"/>
      <c r="FY34" s="7"/>
      <c r="FZ34" s="7"/>
      <c r="GA34" s="7"/>
      <c r="GB34" s="7"/>
      <c r="GC34" s="7"/>
      <c r="GD34" s="7"/>
      <c r="GE34" s="7"/>
      <c r="GF34" s="7"/>
      <c r="GG34" s="7"/>
      <c r="GH34" s="7"/>
      <c r="GI34" s="7"/>
      <c r="GJ34" s="7"/>
      <c r="GK34" s="7"/>
      <c r="GL34" s="7"/>
      <c r="GM34" s="7"/>
      <c r="GN34" s="7"/>
      <c r="GO34" s="7"/>
      <c r="GP34" s="7"/>
      <c r="GQ34" s="7"/>
      <c r="GR34" s="7"/>
      <c r="GS34" s="7"/>
      <c r="GT34" s="7"/>
      <c r="GU34" s="7"/>
      <c r="GV34" s="7"/>
      <c r="GW34" s="7"/>
      <c r="GX34" s="7"/>
      <c r="GY34" s="7"/>
      <c r="GZ34" s="7"/>
      <c r="HA34" s="7"/>
      <c r="HB34" s="7"/>
      <c r="HC34" s="7"/>
      <c r="HD34" s="7"/>
      <c r="HE34" s="7"/>
      <c r="HF34" s="7"/>
      <c r="HG34" s="7"/>
      <c r="HH34" s="7"/>
      <c r="HI34" s="7"/>
      <c r="HJ34" s="7"/>
      <c r="HK34" s="7"/>
      <c r="HL34" s="7"/>
      <c r="HM34" s="7"/>
      <c r="HN34" s="7"/>
      <c r="HO34" s="7"/>
      <c r="HP34" s="7"/>
      <c r="HQ34" s="7"/>
      <c r="HR34" s="7"/>
      <c r="HS34" s="7"/>
      <c r="HT34" s="7"/>
      <c r="HU34" s="7"/>
      <c r="HV34" s="7"/>
      <c r="HW34" s="7"/>
      <c r="HX34" s="7"/>
      <c r="HY34" s="7"/>
      <c r="HZ34" s="7"/>
      <c r="IA34" s="7"/>
      <c r="IB34" s="7"/>
      <c r="IC34" s="7"/>
      <c r="ID34" s="7"/>
      <c r="IE34" s="7"/>
      <c r="IF34" s="7"/>
      <c r="IG34" s="7"/>
      <c r="IH34" s="7"/>
      <c r="II34" s="7"/>
      <c r="IJ34" s="7"/>
      <c r="IK34" s="7"/>
      <c r="IL34" s="7"/>
      <c r="IM34" s="7"/>
      <c r="IN34" s="7"/>
      <c r="IO34" s="7"/>
      <c r="IP34" s="7"/>
      <c r="IQ34" s="7"/>
      <c r="IR34" s="7"/>
      <c r="IS34" s="7"/>
      <c r="IT34" s="7"/>
      <c r="IU34" s="7"/>
      <c r="IV34" s="7"/>
      <c r="IW34" s="7"/>
      <c r="IX34" s="7"/>
      <c r="IY34" s="7"/>
      <c r="IZ34" s="7"/>
      <c r="JA34" s="7"/>
      <c r="JB34" s="7"/>
      <c r="JC34" s="7"/>
      <c r="JD34" s="7"/>
      <c r="JE34" s="7"/>
      <c r="JF34" s="7"/>
      <c r="JG34" s="7"/>
      <c r="JH34" s="7"/>
      <c r="JI34" s="7"/>
      <c r="JJ34" s="7"/>
      <c r="JK34" s="7"/>
      <c r="JL34" s="7"/>
      <c r="JM34" s="7"/>
      <c r="JN34" s="7"/>
      <c r="JO34" s="7"/>
      <c r="JP34" s="7"/>
      <c r="JQ34" s="7"/>
      <c r="JR34" s="7"/>
      <c r="JS34" s="7"/>
      <c r="JT34" s="7"/>
      <c r="JU34" s="7"/>
      <c r="JV34" s="7"/>
      <c r="JW34" s="7"/>
      <c r="JX34" s="7"/>
      <c r="JY34" s="7"/>
      <c r="JZ34" s="7"/>
      <c r="KA34" s="7"/>
      <c r="KB34" s="7"/>
      <c r="KC34" s="7"/>
      <c r="KD34" s="7"/>
      <c r="KE34" s="7"/>
      <c r="KF34" s="7"/>
      <c r="KG34" s="7"/>
      <c r="KH34" s="7"/>
      <c r="KI34" s="7"/>
      <c r="KJ34" s="7"/>
      <c r="KK34" s="7"/>
      <c r="KL34" s="7"/>
      <c r="KM34" s="7"/>
      <c r="KN34" s="7"/>
      <c r="KO34" s="7"/>
      <c r="KP34" s="7"/>
      <c r="KQ34" s="7"/>
      <c r="KR34" s="7"/>
      <c r="KS34" s="7"/>
      <c r="KT34" s="7"/>
      <c r="KU34" s="7"/>
      <c r="KV34" s="7"/>
      <c r="KW34" s="7"/>
      <c r="KX34" s="7"/>
      <c r="KY34" s="7"/>
      <c r="KZ34" s="7"/>
      <c r="LA34" s="7"/>
      <c r="LB34" s="7"/>
      <c r="LC34" s="7"/>
      <c r="LD34" s="7"/>
      <c r="LE34" s="7"/>
      <c r="LF34" s="7"/>
      <c r="LG34" s="7"/>
      <c r="LH34" s="7"/>
      <c r="LI34" s="7"/>
      <c r="LJ34" s="7"/>
      <c r="LK34" s="7"/>
      <c r="LL34" s="7"/>
      <c r="LM34" s="7"/>
      <c r="LN34" s="7"/>
      <c r="LO34" s="7"/>
      <c r="LP34" s="7"/>
      <c r="LQ34" s="7"/>
      <c r="LR34" s="7"/>
    </row>
    <row r="35" spans="22:330" s="6" customFormat="1" x14ac:dyDescent="0.25">
      <c r="V35" s="7"/>
      <c r="W35" s="7"/>
      <c r="X35" s="7"/>
      <c r="Y35" s="7"/>
      <c r="Z35" s="7"/>
      <c r="AA35" s="7"/>
      <c r="AB35" s="7"/>
      <c r="AC35" s="7"/>
      <c r="AD35" s="7"/>
      <c r="AE35" s="7"/>
      <c r="AF35" s="7"/>
      <c r="AG35" s="7"/>
      <c r="AH35" s="7"/>
      <c r="AI35" s="7"/>
      <c r="AJ35" s="7"/>
      <c r="AK35" s="7"/>
      <c r="AL35" s="7"/>
      <c r="AM35" s="7"/>
      <c r="AN35" s="7"/>
      <c r="AO35" s="7"/>
      <c r="AP35" s="7"/>
      <c r="AQ35" s="7"/>
      <c r="AR35" s="7"/>
      <c r="AS35" s="7"/>
      <c r="AT35" s="7"/>
      <c r="AU35" s="7"/>
      <c r="AV35" s="7"/>
      <c r="AW35" s="7"/>
      <c r="AX35" s="7"/>
      <c r="AY35" s="7"/>
      <c r="AZ35" s="7"/>
      <c r="BA35" s="7"/>
      <c r="BB35" s="7"/>
      <c r="BC35" s="7"/>
      <c r="BD35" s="7"/>
      <c r="BE35" s="7"/>
      <c r="BF35" s="7"/>
      <c r="BG35" s="7"/>
      <c r="BH35" s="7"/>
      <c r="BI35" s="7"/>
      <c r="BJ35" s="7"/>
      <c r="BK35" s="7"/>
      <c r="BL35" s="7"/>
      <c r="BM35" s="7"/>
      <c r="BN35" s="7"/>
      <c r="BO35" s="7"/>
      <c r="BP35" s="7"/>
      <c r="BQ35" s="7"/>
      <c r="BR35" s="7"/>
      <c r="BS35" s="7"/>
      <c r="BT35" s="7"/>
      <c r="BU35" s="7"/>
      <c r="BV35" s="7"/>
      <c r="BW35" s="7"/>
      <c r="BX35" s="7"/>
      <c r="BY35" s="7"/>
      <c r="BZ35" s="7"/>
      <c r="CA35" s="7"/>
      <c r="CB35" s="7"/>
      <c r="CC35" s="7"/>
      <c r="CD35" s="7"/>
      <c r="CE35" s="7"/>
      <c r="CF35" s="7"/>
      <c r="CG35" s="7"/>
      <c r="CH35" s="7"/>
      <c r="CI35" s="7"/>
      <c r="CJ35" s="7"/>
      <c r="CK35" s="7"/>
      <c r="CL35" s="7"/>
      <c r="CM35" s="7"/>
      <c r="CN35" s="7"/>
      <c r="CO35" s="7"/>
      <c r="CP35" s="7"/>
      <c r="CQ35" s="7"/>
      <c r="CR35" s="7"/>
      <c r="CS35" s="7"/>
      <c r="CT35" s="7"/>
      <c r="CU35" s="7"/>
      <c r="CV35" s="7"/>
      <c r="CW35" s="7"/>
      <c r="CX35" s="7"/>
      <c r="CY35" s="7"/>
      <c r="CZ35" s="7"/>
      <c r="DA35" s="7"/>
      <c r="DB35" s="7"/>
      <c r="DC35" s="7"/>
      <c r="DD35" s="7"/>
      <c r="DE35" s="7"/>
      <c r="DF35" s="7"/>
      <c r="DG35" s="7"/>
      <c r="DH35" s="7"/>
      <c r="DI35" s="7"/>
      <c r="DJ35" s="7"/>
      <c r="DK35" s="7"/>
      <c r="DL35" s="7"/>
      <c r="DM35" s="7"/>
      <c r="DN35" s="7"/>
      <c r="DO35" s="7"/>
      <c r="DP35" s="7"/>
      <c r="DQ35" s="7"/>
      <c r="DR35" s="7"/>
      <c r="DS35" s="7"/>
      <c r="DT35" s="7"/>
      <c r="DU35" s="7"/>
      <c r="DV35" s="7"/>
      <c r="DW35" s="7"/>
      <c r="DX35" s="7"/>
      <c r="DY35" s="7"/>
      <c r="DZ35" s="7"/>
      <c r="EA35" s="7"/>
      <c r="EB35" s="7"/>
      <c r="EC35" s="7"/>
      <c r="ED35" s="7"/>
      <c r="EE35" s="7"/>
      <c r="EF35" s="7"/>
      <c r="EG35" s="7"/>
      <c r="EH35" s="7"/>
      <c r="EI35" s="7"/>
      <c r="EJ35" s="7"/>
      <c r="EK35" s="7"/>
      <c r="EL35" s="7"/>
      <c r="EM35" s="7"/>
      <c r="EN35" s="7"/>
      <c r="EO35" s="7"/>
      <c r="EP35" s="7"/>
      <c r="EQ35" s="7"/>
      <c r="ER35" s="7"/>
      <c r="ES35" s="7"/>
      <c r="ET35" s="7"/>
      <c r="EU35" s="7"/>
      <c r="EV35" s="7"/>
      <c r="EW35" s="7"/>
      <c r="EX35" s="7"/>
      <c r="EY35" s="7"/>
      <c r="EZ35" s="7"/>
      <c r="FA35" s="7"/>
      <c r="FB35" s="7"/>
      <c r="FC35" s="7"/>
      <c r="FD35" s="7"/>
      <c r="FE35" s="7"/>
      <c r="FF35" s="7"/>
      <c r="FG35" s="7"/>
      <c r="FH35" s="7"/>
      <c r="FI35" s="7"/>
      <c r="FJ35" s="7"/>
      <c r="FK35" s="7"/>
      <c r="FL35" s="7"/>
      <c r="FM35" s="7"/>
      <c r="FN35" s="7"/>
      <c r="FO35" s="7"/>
      <c r="FP35" s="7"/>
      <c r="FQ35" s="7"/>
      <c r="FR35" s="7"/>
      <c r="FS35" s="7"/>
      <c r="FT35" s="7"/>
      <c r="FU35" s="7"/>
      <c r="FV35" s="7"/>
      <c r="FW35" s="7"/>
      <c r="FX35" s="7"/>
      <c r="FY35" s="7"/>
      <c r="FZ35" s="7"/>
      <c r="GA35" s="7"/>
      <c r="GB35" s="7"/>
      <c r="GC35" s="7"/>
      <c r="GD35" s="7"/>
      <c r="GE35" s="7"/>
      <c r="GF35" s="7"/>
      <c r="GG35" s="7"/>
      <c r="GH35" s="7"/>
      <c r="GI35" s="7"/>
      <c r="GJ35" s="7"/>
      <c r="GK35" s="7"/>
      <c r="GL35" s="7"/>
      <c r="GM35" s="7"/>
      <c r="GN35" s="7"/>
      <c r="GO35" s="7"/>
      <c r="GP35" s="7"/>
      <c r="GQ35" s="7"/>
      <c r="GR35" s="7"/>
      <c r="GS35" s="7"/>
      <c r="GT35" s="7"/>
      <c r="GU35" s="7"/>
      <c r="GV35" s="7"/>
      <c r="GW35" s="7"/>
      <c r="GX35" s="7"/>
      <c r="GY35" s="7"/>
      <c r="GZ35" s="7"/>
      <c r="HA35" s="7"/>
      <c r="HB35" s="7"/>
      <c r="HC35" s="7"/>
      <c r="HD35" s="7"/>
      <c r="HE35" s="7"/>
      <c r="HF35" s="7"/>
      <c r="HG35" s="7"/>
      <c r="HH35" s="7"/>
      <c r="HI35" s="7"/>
      <c r="HJ35" s="7"/>
      <c r="HK35" s="7"/>
      <c r="HL35" s="7"/>
      <c r="HM35" s="7"/>
      <c r="HN35" s="7"/>
      <c r="HO35" s="7"/>
      <c r="HP35" s="7"/>
      <c r="HQ35" s="7"/>
      <c r="HR35" s="7"/>
      <c r="HS35" s="7"/>
      <c r="HT35" s="7"/>
      <c r="HU35" s="7"/>
      <c r="HV35" s="7"/>
      <c r="HW35" s="7"/>
      <c r="HX35" s="7"/>
      <c r="HY35" s="7"/>
      <c r="HZ35" s="7"/>
      <c r="IA35" s="7"/>
      <c r="IB35" s="7"/>
      <c r="IC35" s="7"/>
      <c r="ID35" s="7"/>
      <c r="IE35" s="7"/>
      <c r="IF35" s="7"/>
      <c r="IG35" s="7"/>
      <c r="IH35" s="7"/>
      <c r="II35" s="7"/>
      <c r="IJ35" s="7"/>
      <c r="IK35" s="7"/>
      <c r="IL35" s="7"/>
      <c r="IM35" s="7"/>
      <c r="IN35" s="7"/>
      <c r="IO35" s="7"/>
      <c r="IP35" s="7"/>
      <c r="IQ35" s="7"/>
      <c r="IR35" s="7"/>
      <c r="IS35" s="7"/>
      <c r="IT35" s="7"/>
      <c r="IU35" s="7"/>
      <c r="IV35" s="7"/>
      <c r="IW35" s="7"/>
      <c r="IX35" s="7"/>
      <c r="IY35" s="7"/>
      <c r="IZ35" s="7"/>
      <c r="JA35" s="7"/>
      <c r="JB35" s="7"/>
      <c r="JC35" s="7"/>
      <c r="JD35" s="7"/>
      <c r="JE35" s="7"/>
      <c r="JF35" s="7"/>
      <c r="JG35" s="7"/>
      <c r="JH35" s="7"/>
      <c r="JI35" s="7"/>
      <c r="JJ35" s="7"/>
      <c r="JK35" s="7"/>
      <c r="JL35" s="7"/>
      <c r="JM35" s="7"/>
      <c r="JN35" s="7"/>
      <c r="JO35" s="7"/>
      <c r="JP35" s="7"/>
      <c r="JQ35" s="7"/>
      <c r="JR35" s="7"/>
      <c r="JS35" s="7"/>
      <c r="JT35" s="7"/>
      <c r="JU35" s="7"/>
      <c r="JV35" s="7"/>
      <c r="JW35" s="7"/>
      <c r="JX35" s="7"/>
      <c r="JY35" s="7"/>
      <c r="JZ35" s="7"/>
      <c r="KA35" s="7"/>
      <c r="KB35" s="7"/>
      <c r="KC35" s="7"/>
      <c r="KD35" s="7"/>
      <c r="KE35" s="7"/>
      <c r="KF35" s="7"/>
      <c r="KG35" s="7"/>
      <c r="KH35" s="7"/>
      <c r="KI35" s="7"/>
      <c r="KJ35" s="7"/>
      <c r="KK35" s="7"/>
      <c r="KL35" s="7"/>
      <c r="KM35" s="7"/>
      <c r="KN35" s="7"/>
      <c r="KO35" s="7"/>
      <c r="KP35" s="7"/>
      <c r="KQ35" s="7"/>
      <c r="KR35" s="7"/>
      <c r="KS35" s="7"/>
      <c r="KT35" s="7"/>
      <c r="KU35" s="7"/>
      <c r="KV35" s="7"/>
      <c r="KW35" s="7"/>
      <c r="KX35" s="7"/>
      <c r="KY35" s="7"/>
      <c r="KZ35" s="7"/>
      <c r="LA35" s="7"/>
      <c r="LB35" s="7"/>
      <c r="LC35" s="7"/>
      <c r="LD35" s="7"/>
      <c r="LE35" s="7"/>
      <c r="LF35" s="7"/>
      <c r="LG35" s="7"/>
      <c r="LH35" s="7"/>
      <c r="LI35" s="7"/>
      <c r="LJ35" s="7"/>
      <c r="LK35" s="7"/>
      <c r="LL35" s="7"/>
      <c r="LM35" s="7"/>
      <c r="LN35" s="7"/>
      <c r="LO35" s="7"/>
      <c r="LP35" s="7"/>
      <c r="LQ35" s="7"/>
      <c r="LR35" s="7"/>
    </row>
    <row r="36" spans="22:330" s="6" customFormat="1" x14ac:dyDescent="0.25">
      <c r="V36" s="7"/>
      <c r="W36" s="7"/>
      <c r="X36" s="7"/>
      <c r="Y36" s="7"/>
      <c r="Z36" s="7"/>
      <c r="AA36" s="7"/>
      <c r="AB36" s="7"/>
      <c r="AC36" s="7"/>
      <c r="AD36" s="7"/>
      <c r="AE36" s="7"/>
      <c r="AF36" s="7"/>
      <c r="AG36" s="7"/>
      <c r="AH36" s="7"/>
      <c r="AI36" s="7"/>
      <c r="AJ36" s="7"/>
      <c r="AK36" s="7"/>
      <c r="AL36" s="7"/>
      <c r="AM36" s="7"/>
      <c r="AN36" s="7"/>
      <c r="AO36" s="7"/>
      <c r="AP36" s="7"/>
      <c r="AQ36" s="7"/>
      <c r="AR36" s="7"/>
      <c r="AS36" s="7"/>
      <c r="AT36" s="7"/>
      <c r="AU36" s="7"/>
      <c r="AV36" s="7"/>
      <c r="AW36" s="7"/>
      <c r="AX36" s="7"/>
      <c r="AY36" s="7"/>
      <c r="AZ36" s="7"/>
      <c r="BA36" s="7"/>
      <c r="BB36" s="7"/>
      <c r="BC36" s="7"/>
      <c r="BD36" s="7"/>
      <c r="BE36" s="7"/>
      <c r="BF36" s="7"/>
      <c r="BG36" s="7"/>
      <c r="BH36" s="7"/>
      <c r="BI36" s="7"/>
      <c r="BJ36" s="7"/>
      <c r="BK36" s="7"/>
      <c r="BL36" s="7"/>
      <c r="BM36" s="7"/>
      <c r="BN36" s="7"/>
      <c r="BO36" s="7"/>
      <c r="BP36" s="7"/>
      <c r="BQ36" s="7"/>
      <c r="BR36" s="7"/>
      <c r="BS36" s="7"/>
      <c r="BT36" s="7"/>
      <c r="BU36" s="7"/>
      <c r="BV36" s="7"/>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S36" s="7"/>
      <c r="DT36" s="7"/>
      <c r="DU36" s="7"/>
      <c r="DV36" s="7"/>
      <c r="DW36" s="7"/>
      <c r="DX36" s="7"/>
      <c r="DY36" s="7"/>
      <c r="DZ36" s="7"/>
      <c r="EA36" s="7"/>
      <c r="EB36" s="7"/>
      <c r="EC36" s="7"/>
      <c r="ED36" s="7"/>
      <c r="EE36" s="7"/>
      <c r="EF36" s="7"/>
      <c r="EG36" s="7"/>
      <c r="EH36" s="7"/>
      <c r="EI36" s="7"/>
      <c r="EJ36" s="7"/>
      <c r="EK36" s="7"/>
      <c r="EL36" s="7"/>
      <c r="EM36" s="7"/>
      <c r="EN36" s="7"/>
      <c r="EO36" s="7"/>
      <c r="EP36" s="7"/>
      <c r="EQ36" s="7"/>
      <c r="ER36" s="7"/>
      <c r="ES36" s="7"/>
      <c r="ET36" s="7"/>
      <c r="EU36" s="7"/>
      <c r="EV36" s="7"/>
      <c r="EW36" s="7"/>
      <c r="EX36" s="7"/>
      <c r="EY36" s="7"/>
      <c r="EZ36" s="7"/>
      <c r="FA36" s="7"/>
      <c r="FB36" s="7"/>
      <c r="FC36" s="7"/>
      <c r="FD36" s="7"/>
      <c r="FE36" s="7"/>
      <c r="FF36" s="7"/>
      <c r="FG36" s="7"/>
      <c r="FH36" s="7"/>
      <c r="FI36" s="7"/>
      <c r="FJ36" s="7"/>
      <c r="FK36" s="7"/>
      <c r="FL36" s="7"/>
      <c r="FM36" s="7"/>
      <c r="FN36" s="7"/>
      <c r="FO36" s="7"/>
      <c r="FP36" s="7"/>
      <c r="FQ36" s="7"/>
      <c r="FR36" s="7"/>
      <c r="FS36" s="7"/>
      <c r="FT36" s="7"/>
      <c r="FU36" s="7"/>
      <c r="FV36" s="7"/>
      <c r="FW36" s="7"/>
      <c r="FX36" s="7"/>
      <c r="FY36" s="7"/>
      <c r="FZ36" s="7"/>
      <c r="GA36" s="7"/>
      <c r="GB36" s="7"/>
      <c r="GC36" s="7"/>
      <c r="GD36" s="7"/>
      <c r="GE36" s="7"/>
      <c r="GF36" s="7"/>
      <c r="GG36" s="7"/>
      <c r="GH36" s="7"/>
      <c r="GI36" s="7"/>
      <c r="GJ36" s="7"/>
      <c r="GK36" s="7"/>
      <c r="GL36" s="7"/>
      <c r="GM36" s="7"/>
      <c r="GN36" s="7"/>
      <c r="GO36" s="7"/>
      <c r="GP36" s="7"/>
      <c r="GQ36" s="7"/>
      <c r="GR36" s="7"/>
      <c r="GS36" s="7"/>
      <c r="GT36" s="7"/>
      <c r="GU36" s="7"/>
      <c r="GV36" s="7"/>
      <c r="GW36" s="7"/>
      <c r="GX36" s="7"/>
      <c r="GY36" s="7"/>
      <c r="GZ36" s="7"/>
      <c r="HA36" s="7"/>
      <c r="HB36" s="7"/>
      <c r="HC36" s="7"/>
      <c r="HD36" s="7"/>
      <c r="HE36" s="7"/>
      <c r="HF36" s="7"/>
      <c r="HG36" s="7"/>
      <c r="HH36" s="7"/>
      <c r="HI36" s="7"/>
      <c r="HJ36" s="7"/>
      <c r="HK36" s="7"/>
      <c r="HL36" s="7"/>
      <c r="HM36" s="7"/>
      <c r="HN36" s="7"/>
      <c r="HO36" s="7"/>
      <c r="HP36" s="7"/>
      <c r="HQ36" s="7"/>
      <c r="HR36" s="7"/>
      <c r="HS36" s="7"/>
      <c r="HT36" s="7"/>
      <c r="HU36" s="7"/>
      <c r="HV36" s="7"/>
      <c r="HW36" s="7"/>
      <c r="HX36" s="7"/>
      <c r="HY36" s="7"/>
      <c r="HZ36" s="7"/>
      <c r="IA36" s="7"/>
      <c r="IB36" s="7"/>
      <c r="IC36" s="7"/>
      <c r="ID36" s="7"/>
      <c r="IE36" s="7"/>
      <c r="IF36" s="7"/>
      <c r="IG36" s="7"/>
      <c r="IH36" s="7"/>
      <c r="II36" s="7"/>
      <c r="IJ36" s="7"/>
      <c r="IK36" s="7"/>
      <c r="IL36" s="7"/>
      <c r="IM36" s="7"/>
      <c r="IN36" s="7"/>
      <c r="IO36" s="7"/>
      <c r="IP36" s="7"/>
      <c r="IQ36" s="7"/>
      <c r="IR36" s="7"/>
      <c r="IS36" s="7"/>
      <c r="IT36" s="7"/>
      <c r="IU36" s="7"/>
      <c r="IV36" s="7"/>
      <c r="IW36" s="7"/>
      <c r="IX36" s="7"/>
      <c r="IY36" s="7"/>
      <c r="IZ36" s="7"/>
      <c r="JA36" s="7"/>
      <c r="JB36" s="7"/>
      <c r="JC36" s="7"/>
      <c r="JD36" s="7"/>
      <c r="JE36" s="7"/>
      <c r="JF36" s="7"/>
      <c r="JG36" s="7"/>
      <c r="JH36" s="7"/>
      <c r="JI36" s="7"/>
      <c r="JJ36" s="7"/>
      <c r="JK36" s="7"/>
      <c r="JL36" s="7"/>
      <c r="JM36" s="7"/>
      <c r="JN36" s="7"/>
      <c r="JO36" s="7"/>
      <c r="JP36" s="7"/>
      <c r="JQ36" s="7"/>
      <c r="JR36" s="7"/>
      <c r="JS36" s="7"/>
      <c r="JT36" s="7"/>
      <c r="JU36" s="7"/>
      <c r="JV36" s="7"/>
      <c r="JW36" s="7"/>
      <c r="JX36" s="7"/>
      <c r="JY36" s="7"/>
      <c r="JZ36" s="7"/>
      <c r="KA36" s="7"/>
      <c r="KB36" s="7"/>
      <c r="KC36" s="7"/>
      <c r="KD36" s="7"/>
      <c r="KE36" s="7"/>
      <c r="KF36" s="7"/>
      <c r="KG36" s="7"/>
      <c r="KH36" s="7"/>
      <c r="KI36" s="7"/>
      <c r="KJ36" s="7"/>
      <c r="KK36" s="7"/>
      <c r="KL36" s="7"/>
      <c r="KM36" s="7"/>
      <c r="KN36" s="7"/>
      <c r="KO36" s="7"/>
      <c r="KP36" s="7"/>
      <c r="KQ36" s="7"/>
      <c r="KR36" s="7"/>
      <c r="KS36" s="7"/>
      <c r="KT36" s="7"/>
      <c r="KU36" s="7"/>
      <c r="KV36" s="7"/>
      <c r="KW36" s="7"/>
      <c r="KX36" s="7"/>
      <c r="KY36" s="7"/>
      <c r="KZ36" s="7"/>
      <c r="LA36" s="7"/>
      <c r="LB36" s="7"/>
      <c r="LC36" s="7"/>
      <c r="LD36" s="7"/>
      <c r="LE36" s="7"/>
      <c r="LF36" s="7"/>
      <c r="LG36" s="7"/>
      <c r="LH36" s="7"/>
      <c r="LI36" s="7"/>
      <c r="LJ36" s="7"/>
      <c r="LK36" s="7"/>
      <c r="LL36" s="7"/>
      <c r="LM36" s="7"/>
      <c r="LN36" s="7"/>
      <c r="LO36" s="7"/>
      <c r="LP36" s="7"/>
      <c r="LQ36" s="7"/>
      <c r="LR36" s="7"/>
    </row>
    <row r="37" spans="22:330" s="6" customFormat="1" x14ac:dyDescent="0.25">
      <c r="V37" s="7"/>
      <c r="W37" s="7"/>
      <c r="X37" s="7"/>
      <c r="Y37" s="7"/>
      <c r="Z37" s="7"/>
      <c r="AA37" s="7"/>
      <c r="AB37" s="7"/>
      <c r="AC37" s="7"/>
      <c r="AD37" s="7"/>
      <c r="AE37" s="7"/>
      <c r="AF37" s="7"/>
      <c r="AG37" s="7"/>
      <c r="AH37" s="7"/>
      <c r="AI37" s="7"/>
      <c r="AJ37" s="7"/>
      <c r="AK37" s="7"/>
      <c r="AL37" s="7"/>
      <c r="AM37" s="7"/>
      <c r="AN37" s="7"/>
      <c r="AO37" s="7"/>
      <c r="AP37" s="7"/>
      <c r="AQ37" s="7"/>
      <c r="AR37" s="7"/>
      <c r="AS37" s="7"/>
      <c r="AT37" s="7"/>
      <c r="AU37" s="7"/>
      <c r="AV37" s="7"/>
      <c r="AW37" s="7"/>
      <c r="AX37" s="7"/>
      <c r="AY37" s="7"/>
      <c r="AZ37" s="7"/>
      <c r="BA37" s="7"/>
      <c r="BB37" s="7"/>
      <c r="BC37" s="7"/>
      <c r="BD37" s="7"/>
      <c r="BE37" s="7"/>
      <c r="BF37" s="7"/>
      <c r="BG37" s="7"/>
      <c r="BH37" s="7"/>
      <c r="BI37" s="7"/>
      <c r="BJ37" s="7"/>
      <c r="BK37" s="7"/>
      <c r="BL37" s="7"/>
      <c r="BM37" s="7"/>
      <c r="BN37" s="7"/>
      <c r="BO37" s="7"/>
      <c r="BP37" s="7"/>
      <c r="BQ37" s="7"/>
      <c r="BR37" s="7"/>
      <c r="BS37" s="7"/>
      <c r="BT37" s="7"/>
      <c r="BU37" s="7"/>
      <c r="BV37" s="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S37" s="7"/>
      <c r="DT37" s="7"/>
      <c r="DU37" s="7"/>
      <c r="DV37" s="7"/>
      <c r="DW37" s="7"/>
      <c r="DX37" s="7"/>
      <c r="DY37" s="7"/>
      <c r="DZ37" s="7"/>
      <c r="EA37" s="7"/>
      <c r="EB37" s="7"/>
      <c r="EC37" s="7"/>
      <c r="ED37" s="7"/>
      <c r="EE37" s="7"/>
      <c r="EF37" s="7"/>
      <c r="EG37" s="7"/>
      <c r="EH37" s="7"/>
      <c r="EI37" s="7"/>
      <c r="EJ37" s="7"/>
      <c r="EK37" s="7"/>
      <c r="EL37" s="7"/>
      <c r="EM37" s="7"/>
      <c r="EN37" s="7"/>
      <c r="EO37" s="7"/>
      <c r="EP37" s="7"/>
      <c r="EQ37" s="7"/>
      <c r="ER37" s="7"/>
      <c r="ES37" s="7"/>
      <c r="ET37" s="7"/>
      <c r="EU37" s="7"/>
      <c r="EV37" s="7"/>
      <c r="EW37" s="7"/>
      <c r="EX37" s="7"/>
      <c r="EY37" s="7"/>
      <c r="EZ37" s="7"/>
      <c r="FA37" s="7"/>
      <c r="FB37" s="7"/>
      <c r="FC37" s="7"/>
      <c r="FD37" s="7"/>
      <c r="FE37" s="7"/>
      <c r="FF37" s="7"/>
      <c r="FG37" s="7"/>
      <c r="FH37" s="7"/>
      <c r="FI37" s="7"/>
      <c r="FJ37" s="7"/>
      <c r="FK37" s="7"/>
      <c r="FL37" s="7"/>
      <c r="FM37" s="7"/>
      <c r="FN37" s="7"/>
      <c r="FO37" s="7"/>
      <c r="FP37" s="7"/>
      <c r="FQ37" s="7"/>
      <c r="FR37" s="7"/>
      <c r="FS37" s="7"/>
      <c r="FT37" s="7"/>
      <c r="FU37" s="7"/>
      <c r="FV37" s="7"/>
      <c r="FW37" s="7"/>
      <c r="FX37" s="7"/>
      <c r="FY37" s="7"/>
      <c r="FZ37" s="7"/>
      <c r="GA37" s="7"/>
      <c r="GB37" s="7"/>
      <c r="GC37" s="7"/>
      <c r="GD37" s="7"/>
      <c r="GE37" s="7"/>
      <c r="GF37" s="7"/>
      <c r="GG37" s="7"/>
      <c r="GH37" s="7"/>
      <c r="GI37" s="7"/>
      <c r="GJ37" s="7"/>
      <c r="GK37" s="7"/>
      <c r="GL37" s="7"/>
      <c r="GM37" s="7"/>
      <c r="GN37" s="7"/>
      <c r="GO37" s="7"/>
      <c r="GP37" s="7"/>
      <c r="GQ37" s="7"/>
      <c r="GR37" s="7"/>
      <c r="GS37" s="7"/>
      <c r="GT37" s="7"/>
      <c r="GU37" s="7"/>
      <c r="GV37" s="7"/>
      <c r="GW37" s="7"/>
      <c r="GX37" s="7"/>
      <c r="GY37" s="7"/>
      <c r="GZ37" s="7"/>
      <c r="HA37" s="7"/>
      <c r="HB37" s="7"/>
      <c r="HC37" s="7"/>
      <c r="HD37" s="7"/>
      <c r="HE37" s="7"/>
      <c r="HF37" s="7"/>
      <c r="HG37" s="7"/>
      <c r="HH37" s="7"/>
      <c r="HI37" s="7"/>
      <c r="HJ37" s="7"/>
      <c r="HK37" s="7"/>
      <c r="HL37" s="7"/>
      <c r="HM37" s="7"/>
      <c r="HN37" s="7"/>
      <c r="HO37" s="7"/>
      <c r="HP37" s="7"/>
      <c r="HQ37" s="7"/>
      <c r="HR37" s="7"/>
      <c r="HS37" s="7"/>
      <c r="HT37" s="7"/>
      <c r="HU37" s="7"/>
      <c r="HV37" s="7"/>
      <c r="HW37" s="7"/>
      <c r="HX37" s="7"/>
      <c r="HY37" s="7"/>
      <c r="HZ37" s="7"/>
      <c r="IA37" s="7"/>
      <c r="IB37" s="7"/>
      <c r="IC37" s="7"/>
      <c r="ID37" s="7"/>
      <c r="IE37" s="7"/>
      <c r="IF37" s="7"/>
      <c r="IG37" s="7"/>
      <c r="IH37" s="7"/>
      <c r="II37" s="7"/>
      <c r="IJ37" s="7"/>
      <c r="IK37" s="7"/>
      <c r="IL37" s="7"/>
      <c r="IM37" s="7"/>
      <c r="IN37" s="7"/>
      <c r="IO37" s="7"/>
      <c r="IP37" s="7"/>
      <c r="IQ37" s="7"/>
      <c r="IR37" s="7"/>
      <c r="IS37" s="7"/>
      <c r="IT37" s="7"/>
      <c r="IU37" s="7"/>
      <c r="IV37" s="7"/>
      <c r="IW37" s="7"/>
      <c r="IX37" s="7"/>
      <c r="IY37" s="7"/>
      <c r="IZ37" s="7"/>
      <c r="JA37" s="7"/>
      <c r="JB37" s="7"/>
      <c r="JC37" s="7"/>
      <c r="JD37" s="7"/>
      <c r="JE37" s="7"/>
      <c r="JF37" s="7"/>
      <c r="JG37" s="7"/>
      <c r="JH37" s="7"/>
      <c r="JI37" s="7"/>
      <c r="JJ37" s="7"/>
      <c r="JK37" s="7"/>
      <c r="JL37" s="7"/>
      <c r="JM37" s="7"/>
      <c r="JN37" s="7"/>
      <c r="JO37" s="7"/>
      <c r="JP37" s="7"/>
      <c r="JQ37" s="7"/>
      <c r="JR37" s="7"/>
      <c r="JS37" s="7"/>
      <c r="JT37" s="7"/>
      <c r="JU37" s="7"/>
      <c r="JV37" s="7"/>
      <c r="JW37" s="7"/>
      <c r="JX37" s="7"/>
      <c r="JY37" s="7"/>
      <c r="JZ37" s="7"/>
      <c r="KA37" s="7"/>
      <c r="KB37" s="7"/>
      <c r="KC37" s="7"/>
      <c r="KD37" s="7"/>
      <c r="KE37" s="7"/>
      <c r="KF37" s="7"/>
      <c r="KG37" s="7"/>
      <c r="KH37" s="7"/>
      <c r="KI37" s="7"/>
      <c r="KJ37" s="7"/>
      <c r="KK37" s="7"/>
      <c r="KL37" s="7"/>
      <c r="KM37" s="7"/>
      <c r="KN37" s="7"/>
      <c r="KO37" s="7"/>
      <c r="KP37" s="7"/>
      <c r="KQ37" s="7"/>
      <c r="KR37" s="7"/>
      <c r="KS37" s="7"/>
      <c r="KT37" s="7"/>
      <c r="KU37" s="7"/>
      <c r="KV37" s="7"/>
      <c r="KW37" s="7"/>
      <c r="KX37" s="7"/>
      <c r="KY37" s="7"/>
      <c r="KZ37" s="7"/>
      <c r="LA37" s="7"/>
      <c r="LB37" s="7"/>
      <c r="LC37" s="7"/>
      <c r="LD37" s="7"/>
      <c r="LE37" s="7"/>
      <c r="LF37" s="7"/>
      <c r="LG37" s="7"/>
      <c r="LH37" s="7"/>
      <c r="LI37" s="7"/>
      <c r="LJ37" s="7"/>
      <c r="LK37" s="7"/>
      <c r="LL37" s="7"/>
      <c r="LM37" s="7"/>
      <c r="LN37" s="7"/>
      <c r="LO37" s="7"/>
      <c r="LP37" s="7"/>
      <c r="LQ37" s="7"/>
      <c r="LR37" s="7"/>
    </row>
    <row r="38" spans="22:330" s="6" customFormat="1" x14ac:dyDescent="0.25">
      <c r="V38" s="7"/>
      <c r="W38" s="7"/>
      <c r="X38" s="7"/>
      <c r="Y38" s="7"/>
      <c r="Z38" s="7"/>
      <c r="AA38" s="7"/>
      <c r="AB38" s="7"/>
      <c r="AC38" s="7"/>
      <c r="AD38" s="7"/>
      <c r="AE38" s="7"/>
      <c r="AF38" s="7"/>
      <c r="AG38" s="7"/>
      <c r="AH38" s="7"/>
      <c r="AI38" s="7"/>
      <c r="AJ38" s="7"/>
      <c r="AK38" s="7"/>
      <c r="AL38" s="7"/>
      <c r="AM38" s="7"/>
      <c r="AN38" s="7"/>
      <c r="AO38" s="7"/>
      <c r="AP38" s="7"/>
      <c r="AQ38" s="7"/>
      <c r="AR38" s="7"/>
      <c r="AS38" s="7"/>
      <c r="AT38" s="7"/>
      <c r="AU38" s="7"/>
      <c r="AV38" s="7"/>
      <c r="AW38" s="7"/>
      <c r="AX38" s="7"/>
      <c r="AY38" s="7"/>
      <c r="AZ38" s="7"/>
      <c r="BA38" s="7"/>
      <c r="BB38" s="7"/>
      <c r="BC38" s="7"/>
      <c r="BD38" s="7"/>
      <c r="BE38" s="7"/>
      <c r="BF38" s="7"/>
      <c r="BG38" s="7"/>
      <c r="BH38" s="7"/>
      <c r="BI38" s="7"/>
      <c r="BJ38" s="7"/>
      <c r="BK38" s="7"/>
      <c r="BL38" s="7"/>
      <c r="BM38" s="7"/>
      <c r="BN38" s="7"/>
      <c r="BO38" s="7"/>
      <c r="BP38" s="7"/>
      <c r="BQ38" s="7"/>
      <c r="BR38" s="7"/>
      <c r="BS38" s="7"/>
      <c r="BT38" s="7"/>
      <c r="BU38" s="7"/>
      <c r="BV38" s="7"/>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S38" s="7"/>
      <c r="DT38" s="7"/>
      <c r="DU38" s="7"/>
      <c r="DV38" s="7"/>
      <c r="DW38" s="7"/>
      <c r="DX38" s="7"/>
      <c r="DY38" s="7"/>
      <c r="DZ38" s="7"/>
      <c r="EA38" s="7"/>
      <c r="EB38" s="7"/>
      <c r="EC38" s="7"/>
      <c r="ED38" s="7"/>
      <c r="EE38" s="7"/>
      <c r="EF38" s="7"/>
      <c r="EG38" s="7"/>
      <c r="EH38" s="7"/>
      <c r="EI38" s="7"/>
      <c r="EJ38" s="7"/>
      <c r="EK38" s="7"/>
      <c r="EL38" s="7"/>
      <c r="EM38" s="7"/>
      <c r="EN38" s="7"/>
      <c r="EO38" s="7"/>
      <c r="EP38" s="7"/>
      <c r="EQ38" s="7"/>
      <c r="ER38" s="7"/>
      <c r="ES38" s="7"/>
      <c r="ET38" s="7"/>
      <c r="EU38" s="7"/>
      <c r="EV38" s="7"/>
      <c r="EW38" s="7"/>
      <c r="EX38" s="7"/>
      <c r="EY38" s="7"/>
      <c r="EZ38" s="7"/>
      <c r="FA38" s="7"/>
      <c r="FB38" s="7"/>
      <c r="FC38" s="7"/>
      <c r="FD38" s="7"/>
      <c r="FE38" s="7"/>
      <c r="FF38" s="7"/>
      <c r="FG38" s="7"/>
      <c r="FH38" s="7"/>
      <c r="FI38" s="7"/>
      <c r="FJ38" s="7"/>
      <c r="FK38" s="7"/>
      <c r="FL38" s="7"/>
      <c r="FM38" s="7"/>
      <c r="FN38" s="7"/>
      <c r="FO38" s="7"/>
      <c r="FP38" s="7"/>
      <c r="FQ38" s="7"/>
      <c r="FR38" s="7"/>
      <c r="FS38" s="7"/>
      <c r="FT38" s="7"/>
      <c r="FU38" s="7"/>
      <c r="FV38" s="7"/>
      <c r="FW38" s="7"/>
      <c r="FX38" s="7"/>
      <c r="FY38" s="7"/>
      <c r="FZ38" s="7"/>
      <c r="GA38" s="7"/>
      <c r="GB38" s="7"/>
      <c r="GC38" s="7"/>
      <c r="GD38" s="7"/>
      <c r="GE38" s="7"/>
      <c r="GF38" s="7"/>
      <c r="GG38" s="7"/>
      <c r="GH38" s="7"/>
      <c r="GI38" s="7"/>
      <c r="GJ38" s="7"/>
      <c r="GK38" s="7"/>
      <c r="GL38" s="7"/>
      <c r="GM38" s="7"/>
      <c r="GN38" s="7"/>
      <c r="GO38" s="7"/>
      <c r="GP38" s="7"/>
      <c r="GQ38" s="7"/>
      <c r="GR38" s="7"/>
      <c r="GS38" s="7"/>
      <c r="GT38" s="7"/>
      <c r="GU38" s="7"/>
      <c r="GV38" s="7"/>
      <c r="GW38" s="7"/>
      <c r="GX38" s="7"/>
      <c r="GY38" s="7"/>
      <c r="GZ38" s="7"/>
      <c r="HA38" s="7"/>
      <c r="HB38" s="7"/>
      <c r="HC38" s="7"/>
      <c r="HD38" s="7"/>
      <c r="HE38" s="7"/>
      <c r="HF38" s="7"/>
      <c r="HG38" s="7"/>
      <c r="HH38" s="7"/>
      <c r="HI38" s="7"/>
      <c r="HJ38" s="7"/>
      <c r="HK38" s="7"/>
      <c r="HL38" s="7"/>
      <c r="HM38" s="7"/>
      <c r="HN38" s="7"/>
      <c r="HO38" s="7"/>
      <c r="HP38" s="7"/>
      <c r="HQ38" s="7"/>
      <c r="HR38" s="7"/>
      <c r="HS38" s="7"/>
      <c r="HT38" s="7"/>
      <c r="HU38" s="7"/>
      <c r="HV38" s="7"/>
      <c r="HW38" s="7"/>
      <c r="HX38" s="7"/>
      <c r="HY38" s="7"/>
      <c r="HZ38" s="7"/>
      <c r="IA38" s="7"/>
      <c r="IB38" s="7"/>
      <c r="IC38" s="7"/>
      <c r="ID38" s="7"/>
      <c r="IE38" s="7"/>
      <c r="IF38" s="7"/>
      <c r="IG38" s="7"/>
      <c r="IH38" s="7"/>
      <c r="II38" s="7"/>
      <c r="IJ38" s="7"/>
      <c r="IK38" s="7"/>
      <c r="IL38" s="7"/>
      <c r="IM38" s="7"/>
      <c r="IN38" s="7"/>
      <c r="IO38" s="7"/>
      <c r="IP38" s="7"/>
      <c r="IQ38" s="7"/>
      <c r="IR38" s="7"/>
      <c r="IS38" s="7"/>
      <c r="IT38" s="7"/>
      <c r="IU38" s="7"/>
      <c r="IV38" s="7"/>
      <c r="IW38" s="7"/>
      <c r="IX38" s="7"/>
      <c r="IY38" s="7"/>
      <c r="IZ38" s="7"/>
      <c r="JA38" s="7"/>
      <c r="JB38" s="7"/>
      <c r="JC38" s="7"/>
      <c r="JD38" s="7"/>
      <c r="JE38" s="7"/>
      <c r="JF38" s="7"/>
      <c r="JG38" s="7"/>
      <c r="JH38" s="7"/>
      <c r="JI38" s="7"/>
      <c r="JJ38" s="7"/>
      <c r="JK38" s="7"/>
      <c r="JL38" s="7"/>
      <c r="JM38" s="7"/>
      <c r="JN38" s="7"/>
      <c r="JO38" s="7"/>
      <c r="JP38" s="7"/>
      <c r="JQ38" s="7"/>
      <c r="JR38" s="7"/>
      <c r="JS38" s="7"/>
      <c r="JT38" s="7"/>
      <c r="JU38" s="7"/>
      <c r="JV38" s="7"/>
      <c r="JW38" s="7"/>
      <c r="JX38" s="7"/>
      <c r="JY38" s="7"/>
      <c r="JZ38" s="7"/>
      <c r="KA38" s="7"/>
      <c r="KB38" s="7"/>
      <c r="KC38" s="7"/>
      <c r="KD38" s="7"/>
      <c r="KE38" s="7"/>
      <c r="KF38" s="7"/>
      <c r="KG38" s="7"/>
      <c r="KH38" s="7"/>
      <c r="KI38" s="7"/>
      <c r="KJ38" s="7"/>
      <c r="KK38" s="7"/>
      <c r="KL38" s="7"/>
      <c r="KM38" s="7"/>
      <c r="KN38" s="7"/>
      <c r="KO38" s="7"/>
      <c r="KP38" s="7"/>
      <c r="KQ38" s="7"/>
      <c r="KR38" s="7"/>
      <c r="KS38" s="7"/>
      <c r="KT38" s="7"/>
      <c r="KU38" s="7"/>
      <c r="KV38" s="7"/>
      <c r="KW38" s="7"/>
      <c r="KX38" s="7"/>
      <c r="KY38" s="7"/>
      <c r="KZ38" s="7"/>
      <c r="LA38" s="7"/>
      <c r="LB38" s="7"/>
      <c r="LC38" s="7"/>
      <c r="LD38" s="7"/>
      <c r="LE38" s="7"/>
      <c r="LF38" s="7"/>
      <c r="LG38" s="7"/>
      <c r="LH38" s="7"/>
      <c r="LI38" s="7"/>
      <c r="LJ38" s="7"/>
      <c r="LK38" s="7"/>
      <c r="LL38" s="7"/>
      <c r="LM38" s="7"/>
      <c r="LN38" s="7"/>
      <c r="LO38" s="7"/>
      <c r="LP38" s="7"/>
      <c r="LQ38" s="7"/>
      <c r="LR38" s="7"/>
    </row>
    <row r="39" spans="22:330" s="6" customFormat="1" x14ac:dyDescent="0.25">
      <c r="V39" s="7"/>
      <c r="W39" s="7"/>
      <c r="X39" s="7"/>
      <c r="Y39" s="7"/>
      <c r="Z39" s="7"/>
      <c r="AA39" s="7"/>
      <c r="AB39" s="7"/>
      <c r="AC39" s="7"/>
      <c r="AD39" s="7"/>
      <c r="AE39" s="7"/>
      <c r="AF39" s="7"/>
      <c r="AG39" s="7"/>
      <c r="AH39" s="7"/>
      <c r="AI39" s="7"/>
      <c r="AJ39" s="7"/>
      <c r="AK39" s="7"/>
      <c r="AL39" s="7"/>
      <c r="AM39" s="7"/>
      <c r="AN39" s="7"/>
      <c r="AO39" s="7"/>
      <c r="AP39" s="7"/>
      <c r="AQ39" s="7"/>
      <c r="AR39" s="7"/>
      <c r="AS39" s="7"/>
      <c r="AT39" s="7"/>
      <c r="AU39" s="7"/>
      <c r="AV39" s="7"/>
      <c r="AW39" s="7"/>
      <c r="AX39" s="7"/>
      <c r="AY39" s="7"/>
      <c r="AZ39" s="7"/>
      <c r="BA39" s="7"/>
      <c r="BB39" s="7"/>
      <c r="BC39" s="7"/>
      <c r="BD39" s="7"/>
      <c r="BE39" s="7"/>
      <c r="BF39" s="7"/>
      <c r="BG39" s="7"/>
      <c r="BH39" s="7"/>
      <c r="BI39" s="7"/>
      <c r="BJ39" s="7"/>
      <c r="BK39" s="7"/>
      <c r="BL39" s="7"/>
      <c r="BM39" s="7"/>
      <c r="BN39" s="7"/>
      <c r="BO39" s="7"/>
      <c r="BP39" s="7"/>
      <c r="BQ39" s="7"/>
      <c r="BR39" s="7"/>
      <c r="BS39" s="7"/>
      <c r="BT39" s="7"/>
      <c r="BU39" s="7"/>
      <c r="BV39" s="7"/>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S39" s="7"/>
      <c r="DT39" s="7"/>
      <c r="DU39" s="7"/>
      <c r="DV39" s="7"/>
      <c r="DW39" s="7"/>
      <c r="DX39" s="7"/>
      <c r="DY39" s="7"/>
      <c r="DZ39" s="7"/>
      <c r="EA39" s="7"/>
      <c r="EB39" s="7"/>
      <c r="EC39" s="7"/>
      <c r="ED39" s="7"/>
      <c r="EE39" s="7"/>
      <c r="EF39" s="7"/>
      <c r="EG39" s="7"/>
      <c r="EH39" s="7"/>
      <c r="EI39" s="7"/>
      <c r="EJ39" s="7"/>
      <c r="EK39" s="7"/>
      <c r="EL39" s="7"/>
      <c r="EM39" s="7"/>
      <c r="EN39" s="7"/>
      <c r="EO39" s="7"/>
      <c r="EP39" s="7"/>
      <c r="EQ39" s="7"/>
      <c r="ER39" s="7"/>
      <c r="ES39" s="7"/>
      <c r="ET39" s="7"/>
      <c r="EU39" s="7"/>
      <c r="EV39" s="7"/>
      <c r="EW39" s="7"/>
      <c r="EX39" s="7"/>
      <c r="EY39" s="7"/>
      <c r="EZ39" s="7"/>
      <c r="FA39" s="7"/>
      <c r="FB39" s="7"/>
      <c r="FC39" s="7"/>
      <c r="FD39" s="7"/>
      <c r="FE39" s="7"/>
      <c r="FF39" s="7"/>
      <c r="FG39" s="7"/>
      <c r="FH39" s="7"/>
      <c r="FI39" s="7"/>
      <c r="FJ39" s="7"/>
      <c r="FK39" s="7"/>
      <c r="FL39" s="7"/>
      <c r="FM39" s="7"/>
      <c r="FN39" s="7"/>
      <c r="FO39" s="7"/>
      <c r="FP39" s="7"/>
      <c r="FQ39" s="7"/>
      <c r="FR39" s="7"/>
      <c r="FS39" s="7"/>
      <c r="FT39" s="7"/>
      <c r="FU39" s="7"/>
      <c r="FV39" s="7"/>
      <c r="FW39" s="7"/>
      <c r="FX39" s="7"/>
      <c r="FY39" s="7"/>
      <c r="FZ39" s="7"/>
      <c r="GA39" s="7"/>
      <c r="GB39" s="7"/>
      <c r="GC39" s="7"/>
      <c r="GD39" s="7"/>
      <c r="GE39" s="7"/>
      <c r="GF39" s="7"/>
      <c r="GG39" s="7"/>
      <c r="GH39" s="7"/>
      <c r="GI39" s="7"/>
      <c r="GJ39" s="7"/>
      <c r="GK39" s="7"/>
      <c r="GL39" s="7"/>
      <c r="GM39" s="7"/>
      <c r="GN39" s="7"/>
      <c r="GO39" s="7"/>
      <c r="GP39" s="7"/>
      <c r="GQ39" s="7"/>
      <c r="GR39" s="7"/>
      <c r="GS39" s="7"/>
      <c r="GT39" s="7"/>
      <c r="GU39" s="7"/>
      <c r="GV39" s="7"/>
      <c r="GW39" s="7"/>
      <c r="GX39" s="7"/>
      <c r="GY39" s="7"/>
      <c r="GZ39" s="7"/>
      <c r="HA39" s="7"/>
      <c r="HB39" s="7"/>
      <c r="HC39" s="7"/>
      <c r="HD39" s="7"/>
      <c r="HE39" s="7"/>
      <c r="HF39" s="7"/>
      <c r="HG39" s="7"/>
      <c r="HH39" s="7"/>
      <c r="HI39" s="7"/>
      <c r="HJ39" s="7"/>
      <c r="HK39" s="7"/>
      <c r="HL39" s="7"/>
      <c r="HM39" s="7"/>
      <c r="HN39" s="7"/>
      <c r="HO39" s="7"/>
      <c r="HP39" s="7"/>
      <c r="HQ39" s="7"/>
      <c r="HR39" s="7"/>
      <c r="HS39" s="7"/>
      <c r="HT39" s="7"/>
      <c r="HU39" s="7"/>
      <c r="HV39" s="7"/>
      <c r="HW39" s="7"/>
      <c r="HX39" s="7"/>
      <c r="HY39" s="7"/>
      <c r="HZ39" s="7"/>
      <c r="IA39" s="7"/>
      <c r="IB39" s="7"/>
      <c r="IC39" s="7"/>
      <c r="ID39" s="7"/>
      <c r="IE39" s="7"/>
      <c r="IF39" s="7"/>
      <c r="IG39" s="7"/>
      <c r="IH39" s="7"/>
      <c r="II39" s="7"/>
      <c r="IJ39" s="7"/>
      <c r="IK39" s="7"/>
      <c r="IL39" s="7"/>
      <c r="IM39" s="7"/>
      <c r="IN39" s="7"/>
      <c r="IO39" s="7"/>
      <c r="IP39" s="7"/>
      <c r="IQ39" s="7"/>
      <c r="IR39" s="7"/>
      <c r="IS39" s="7"/>
      <c r="IT39" s="7"/>
      <c r="IU39" s="7"/>
      <c r="IV39" s="7"/>
      <c r="IW39" s="7"/>
      <c r="IX39" s="7"/>
      <c r="IY39" s="7"/>
      <c r="IZ39" s="7"/>
      <c r="JA39" s="7"/>
      <c r="JB39" s="7"/>
      <c r="JC39" s="7"/>
      <c r="JD39" s="7"/>
      <c r="JE39" s="7"/>
      <c r="JF39" s="7"/>
      <c r="JG39" s="7"/>
      <c r="JH39" s="7"/>
      <c r="JI39" s="7"/>
      <c r="JJ39" s="7"/>
      <c r="JK39" s="7"/>
      <c r="JL39" s="7"/>
      <c r="JM39" s="7"/>
      <c r="JN39" s="7"/>
      <c r="JO39" s="7"/>
      <c r="JP39" s="7"/>
      <c r="JQ39" s="7"/>
      <c r="JR39" s="7"/>
      <c r="JS39" s="7"/>
      <c r="JT39" s="7"/>
      <c r="JU39" s="7"/>
      <c r="JV39" s="7"/>
      <c r="JW39" s="7"/>
      <c r="JX39" s="7"/>
      <c r="JY39" s="7"/>
      <c r="JZ39" s="7"/>
      <c r="KA39" s="7"/>
      <c r="KB39" s="7"/>
      <c r="KC39" s="7"/>
      <c r="KD39" s="7"/>
      <c r="KE39" s="7"/>
      <c r="KF39" s="7"/>
      <c r="KG39" s="7"/>
      <c r="KH39" s="7"/>
      <c r="KI39" s="7"/>
      <c r="KJ39" s="7"/>
      <c r="KK39" s="7"/>
      <c r="KL39" s="7"/>
      <c r="KM39" s="7"/>
      <c r="KN39" s="7"/>
      <c r="KO39" s="7"/>
      <c r="KP39" s="7"/>
      <c r="KQ39" s="7"/>
      <c r="KR39" s="7"/>
      <c r="KS39" s="7"/>
      <c r="KT39" s="7"/>
      <c r="KU39" s="7"/>
      <c r="KV39" s="7"/>
      <c r="KW39" s="7"/>
      <c r="KX39" s="7"/>
      <c r="KY39" s="7"/>
      <c r="KZ39" s="7"/>
      <c r="LA39" s="7"/>
      <c r="LB39" s="7"/>
      <c r="LC39" s="7"/>
      <c r="LD39" s="7"/>
      <c r="LE39" s="7"/>
      <c r="LF39" s="7"/>
      <c r="LG39" s="7"/>
      <c r="LH39" s="7"/>
      <c r="LI39" s="7"/>
      <c r="LJ39" s="7"/>
      <c r="LK39" s="7"/>
      <c r="LL39" s="7"/>
      <c r="LM39" s="7"/>
      <c r="LN39" s="7"/>
      <c r="LO39" s="7"/>
      <c r="LP39" s="7"/>
      <c r="LQ39" s="7"/>
      <c r="LR39" s="7"/>
    </row>
    <row r="40" spans="22:330" s="6" customFormat="1" x14ac:dyDescent="0.25">
      <c r="V40" s="7"/>
      <c r="W40" s="7"/>
      <c r="X40" s="7"/>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7"/>
      <c r="BA40" s="7"/>
      <c r="BB40" s="7"/>
      <c r="BC40" s="7"/>
      <c r="BD40" s="7"/>
      <c r="BE40" s="7"/>
      <c r="BF40" s="7"/>
      <c r="BG40" s="7"/>
      <c r="BH40" s="7"/>
      <c r="BI40" s="7"/>
      <c r="BJ40" s="7"/>
      <c r="BK40" s="7"/>
      <c r="BL40" s="7"/>
      <c r="BM40" s="7"/>
      <c r="BN40" s="7"/>
      <c r="BO40" s="7"/>
      <c r="BP40" s="7"/>
      <c r="BQ40" s="7"/>
      <c r="BR40" s="7"/>
      <c r="BS40" s="7"/>
      <c r="BT40" s="7"/>
      <c r="BU40" s="7"/>
      <c r="BV40" s="7"/>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S40" s="7"/>
      <c r="DT40" s="7"/>
      <c r="DU40" s="7"/>
      <c r="DV40" s="7"/>
      <c r="DW40" s="7"/>
      <c r="DX40" s="7"/>
      <c r="DY40" s="7"/>
      <c r="DZ40" s="7"/>
      <c r="EA40" s="7"/>
      <c r="EB40" s="7"/>
      <c r="EC40" s="7"/>
      <c r="ED40" s="7"/>
      <c r="EE40" s="7"/>
      <c r="EF40" s="7"/>
      <c r="EG40" s="7"/>
      <c r="EH40" s="7"/>
      <c r="EI40" s="7"/>
      <c r="EJ40" s="7"/>
      <c r="EK40" s="7"/>
      <c r="EL40" s="7"/>
      <c r="EM40" s="7"/>
      <c r="EN40" s="7"/>
      <c r="EO40" s="7"/>
      <c r="EP40" s="7"/>
      <c r="EQ40" s="7"/>
      <c r="ER40" s="7"/>
      <c r="ES40" s="7"/>
      <c r="ET40" s="7"/>
      <c r="EU40" s="7"/>
      <c r="EV40" s="7"/>
      <c r="EW40" s="7"/>
      <c r="EX40" s="7"/>
      <c r="EY40" s="7"/>
      <c r="EZ40" s="7"/>
      <c r="FA40" s="7"/>
      <c r="FB40" s="7"/>
      <c r="FC40" s="7"/>
      <c r="FD40" s="7"/>
      <c r="FE40" s="7"/>
      <c r="FF40" s="7"/>
      <c r="FG40" s="7"/>
      <c r="FH40" s="7"/>
      <c r="FI40" s="7"/>
      <c r="FJ40" s="7"/>
      <c r="FK40" s="7"/>
      <c r="FL40" s="7"/>
      <c r="FM40" s="7"/>
      <c r="FN40" s="7"/>
      <c r="FO40" s="7"/>
      <c r="FP40" s="7"/>
      <c r="FQ40" s="7"/>
      <c r="FR40" s="7"/>
      <c r="FS40" s="7"/>
      <c r="FT40" s="7"/>
      <c r="FU40" s="7"/>
      <c r="FV40" s="7"/>
      <c r="FW40" s="7"/>
      <c r="FX40" s="7"/>
      <c r="FY40" s="7"/>
      <c r="FZ40" s="7"/>
      <c r="GA40" s="7"/>
      <c r="GB40" s="7"/>
      <c r="GC40" s="7"/>
      <c r="GD40" s="7"/>
      <c r="GE40" s="7"/>
      <c r="GF40" s="7"/>
      <c r="GG40" s="7"/>
      <c r="GH40" s="7"/>
      <c r="GI40" s="7"/>
      <c r="GJ40" s="7"/>
      <c r="GK40" s="7"/>
      <c r="GL40" s="7"/>
      <c r="GM40" s="7"/>
      <c r="GN40" s="7"/>
      <c r="GO40" s="7"/>
      <c r="GP40" s="7"/>
      <c r="GQ40" s="7"/>
      <c r="GR40" s="7"/>
      <c r="GS40" s="7"/>
      <c r="GT40" s="7"/>
      <c r="GU40" s="7"/>
      <c r="GV40" s="7"/>
      <c r="GW40" s="7"/>
      <c r="GX40" s="7"/>
      <c r="GY40" s="7"/>
      <c r="GZ40" s="7"/>
      <c r="HA40" s="7"/>
      <c r="HB40" s="7"/>
      <c r="HC40" s="7"/>
      <c r="HD40" s="7"/>
      <c r="HE40" s="7"/>
      <c r="HF40" s="7"/>
      <c r="HG40" s="7"/>
      <c r="HH40" s="7"/>
      <c r="HI40" s="7"/>
      <c r="HJ40" s="7"/>
      <c r="HK40" s="7"/>
      <c r="HL40" s="7"/>
      <c r="HM40" s="7"/>
      <c r="HN40" s="7"/>
      <c r="HO40" s="7"/>
      <c r="HP40" s="7"/>
      <c r="HQ40" s="7"/>
      <c r="HR40" s="7"/>
      <c r="HS40" s="7"/>
      <c r="HT40" s="7"/>
      <c r="HU40" s="7"/>
      <c r="HV40" s="7"/>
      <c r="HW40" s="7"/>
      <c r="HX40" s="7"/>
      <c r="HY40" s="7"/>
      <c r="HZ40" s="7"/>
      <c r="IA40" s="7"/>
      <c r="IB40" s="7"/>
      <c r="IC40" s="7"/>
      <c r="ID40" s="7"/>
      <c r="IE40" s="7"/>
      <c r="IF40" s="7"/>
      <c r="IG40" s="7"/>
      <c r="IH40" s="7"/>
      <c r="II40" s="7"/>
      <c r="IJ40" s="7"/>
      <c r="IK40" s="7"/>
      <c r="IL40" s="7"/>
      <c r="IM40" s="7"/>
      <c r="IN40" s="7"/>
      <c r="IO40" s="7"/>
      <c r="IP40" s="7"/>
      <c r="IQ40" s="7"/>
      <c r="IR40" s="7"/>
      <c r="IS40" s="7"/>
      <c r="IT40" s="7"/>
      <c r="IU40" s="7"/>
      <c r="IV40" s="7"/>
      <c r="IW40" s="7"/>
      <c r="IX40" s="7"/>
      <c r="IY40" s="7"/>
      <c r="IZ40" s="7"/>
      <c r="JA40" s="7"/>
      <c r="JB40" s="7"/>
      <c r="JC40" s="7"/>
      <c r="JD40" s="7"/>
      <c r="JE40" s="7"/>
      <c r="JF40" s="7"/>
      <c r="JG40" s="7"/>
      <c r="JH40" s="7"/>
      <c r="JI40" s="7"/>
      <c r="JJ40" s="7"/>
      <c r="JK40" s="7"/>
      <c r="JL40" s="7"/>
      <c r="JM40" s="7"/>
      <c r="JN40" s="7"/>
      <c r="JO40" s="7"/>
      <c r="JP40" s="7"/>
      <c r="JQ40" s="7"/>
      <c r="JR40" s="7"/>
      <c r="JS40" s="7"/>
      <c r="JT40" s="7"/>
      <c r="JU40" s="7"/>
      <c r="JV40" s="7"/>
      <c r="JW40" s="7"/>
      <c r="JX40" s="7"/>
      <c r="JY40" s="7"/>
      <c r="JZ40" s="7"/>
      <c r="KA40" s="7"/>
      <c r="KB40" s="7"/>
      <c r="KC40" s="7"/>
      <c r="KD40" s="7"/>
      <c r="KE40" s="7"/>
      <c r="KF40" s="7"/>
      <c r="KG40" s="7"/>
      <c r="KH40" s="7"/>
      <c r="KI40" s="7"/>
      <c r="KJ40" s="7"/>
      <c r="KK40" s="7"/>
      <c r="KL40" s="7"/>
      <c r="KM40" s="7"/>
      <c r="KN40" s="7"/>
      <c r="KO40" s="7"/>
      <c r="KP40" s="7"/>
      <c r="KQ40" s="7"/>
      <c r="KR40" s="7"/>
      <c r="KS40" s="7"/>
      <c r="KT40" s="7"/>
      <c r="KU40" s="7"/>
      <c r="KV40" s="7"/>
      <c r="KW40" s="7"/>
      <c r="KX40" s="7"/>
      <c r="KY40" s="7"/>
      <c r="KZ40" s="7"/>
      <c r="LA40" s="7"/>
      <c r="LB40" s="7"/>
      <c r="LC40" s="7"/>
      <c r="LD40" s="7"/>
      <c r="LE40" s="7"/>
      <c r="LF40" s="7"/>
      <c r="LG40" s="7"/>
      <c r="LH40" s="7"/>
      <c r="LI40" s="7"/>
      <c r="LJ40" s="7"/>
      <c r="LK40" s="7"/>
      <c r="LL40" s="7"/>
      <c r="LM40" s="7"/>
      <c r="LN40" s="7"/>
      <c r="LO40" s="7"/>
      <c r="LP40" s="7"/>
      <c r="LQ40" s="7"/>
      <c r="LR40" s="7"/>
    </row>
    <row r="41" spans="22:330" s="6" customFormat="1" x14ac:dyDescent="0.25">
      <c r="V41" s="7"/>
      <c r="W41" s="7"/>
      <c r="X41" s="7"/>
      <c r="Y41" s="7"/>
      <c r="Z41" s="7"/>
      <c r="AA41" s="7"/>
      <c r="AB41" s="7"/>
      <c r="AC41" s="7"/>
      <c r="AD41" s="7"/>
      <c r="AE41" s="7"/>
      <c r="AF41" s="7"/>
      <c r="AG41" s="7"/>
      <c r="AH41" s="7"/>
      <c r="AI41" s="7"/>
      <c r="AJ41" s="7"/>
      <c r="AK41" s="7"/>
      <c r="AL41" s="7"/>
      <c r="AM41" s="7"/>
      <c r="AN41" s="7"/>
      <c r="AO41" s="7"/>
      <c r="AP41" s="7"/>
      <c r="AQ41" s="7"/>
      <c r="AR41" s="7"/>
      <c r="AS41" s="7"/>
      <c r="AT41" s="7"/>
      <c r="AU41" s="7"/>
      <c r="AV41" s="7"/>
      <c r="AW41" s="7"/>
      <c r="AX41" s="7"/>
      <c r="AY41" s="7"/>
      <c r="AZ41" s="7"/>
      <c r="BA41" s="7"/>
      <c r="BB41" s="7"/>
      <c r="BC41" s="7"/>
      <c r="BD41" s="7"/>
      <c r="BE41" s="7"/>
      <c r="BF41" s="7"/>
      <c r="BG41" s="7"/>
      <c r="BH41" s="7"/>
      <c r="BI41" s="7"/>
      <c r="BJ41" s="7"/>
      <c r="BK41" s="7"/>
      <c r="BL41" s="7"/>
      <c r="BM41" s="7"/>
      <c r="BN41" s="7"/>
      <c r="BO41" s="7"/>
      <c r="BP41" s="7"/>
      <c r="BQ41" s="7"/>
      <c r="BR41" s="7"/>
      <c r="BS41" s="7"/>
      <c r="BT41" s="7"/>
      <c r="BU41" s="7"/>
      <c r="BV41" s="7"/>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S41" s="7"/>
      <c r="DT41" s="7"/>
      <c r="DU41" s="7"/>
      <c r="DV41" s="7"/>
      <c r="DW41" s="7"/>
      <c r="DX41" s="7"/>
      <c r="DY41" s="7"/>
      <c r="DZ41" s="7"/>
      <c r="EA41" s="7"/>
      <c r="EB41" s="7"/>
      <c r="EC41" s="7"/>
      <c r="ED41" s="7"/>
      <c r="EE41" s="7"/>
      <c r="EF41" s="7"/>
      <c r="EG41" s="7"/>
      <c r="EH41" s="7"/>
      <c r="EI41" s="7"/>
      <c r="EJ41" s="7"/>
      <c r="EK41" s="7"/>
      <c r="EL41" s="7"/>
      <c r="EM41" s="7"/>
      <c r="EN41" s="7"/>
      <c r="EO41" s="7"/>
      <c r="EP41" s="7"/>
      <c r="EQ41" s="7"/>
      <c r="ER41" s="7"/>
      <c r="ES41" s="7"/>
      <c r="ET41" s="7"/>
      <c r="EU41" s="7"/>
      <c r="EV41" s="7"/>
      <c r="EW41" s="7"/>
      <c r="EX41" s="7"/>
      <c r="EY41" s="7"/>
      <c r="EZ41" s="7"/>
      <c r="FA41" s="7"/>
      <c r="FB41" s="7"/>
      <c r="FC41" s="7"/>
      <c r="FD41" s="7"/>
      <c r="FE41" s="7"/>
      <c r="FF41" s="7"/>
      <c r="FG41" s="7"/>
      <c r="FH41" s="7"/>
      <c r="FI41" s="7"/>
      <c r="FJ41" s="7"/>
      <c r="FK41" s="7"/>
      <c r="FL41" s="7"/>
      <c r="FM41" s="7"/>
      <c r="FN41" s="7"/>
      <c r="FO41" s="7"/>
      <c r="FP41" s="7"/>
      <c r="FQ41" s="7"/>
      <c r="FR41" s="7"/>
      <c r="FS41" s="7"/>
      <c r="FT41" s="7"/>
      <c r="FU41" s="7"/>
      <c r="FV41" s="7"/>
      <c r="FW41" s="7"/>
      <c r="FX41" s="7"/>
      <c r="FY41" s="7"/>
      <c r="FZ41" s="7"/>
      <c r="GA41" s="7"/>
      <c r="GB41" s="7"/>
      <c r="GC41" s="7"/>
      <c r="GD41" s="7"/>
      <c r="GE41" s="7"/>
      <c r="GF41" s="7"/>
      <c r="GG41" s="7"/>
      <c r="GH41" s="7"/>
      <c r="GI41" s="7"/>
      <c r="GJ41" s="7"/>
      <c r="GK41" s="7"/>
      <c r="GL41" s="7"/>
      <c r="GM41" s="7"/>
      <c r="GN41" s="7"/>
      <c r="GO41" s="7"/>
      <c r="GP41" s="7"/>
      <c r="GQ41" s="7"/>
      <c r="GR41" s="7"/>
      <c r="GS41" s="7"/>
      <c r="GT41" s="7"/>
      <c r="GU41" s="7"/>
      <c r="GV41" s="7"/>
      <c r="GW41" s="7"/>
      <c r="GX41" s="7"/>
      <c r="GY41" s="7"/>
      <c r="GZ41" s="7"/>
      <c r="HA41" s="7"/>
      <c r="HB41" s="7"/>
      <c r="HC41" s="7"/>
      <c r="HD41" s="7"/>
      <c r="HE41" s="7"/>
      <c r="HF41" s="7"/>
      <c r="HG41" s="7"/>
      <c r="HH41" s="7"/>
      <c r="HI41" s="7"/>
      <c r="HJ41" s="7"/>
      <c r="HK41" s="7"/>
      <c r="HL41" s="7"/>
      <c r="HM41" s="7"/>
      <c r="HN41" s="7"/>
      <c r="HO41" s="7"/>
      <c r="HP41" s="7"/>
      <c r="HQ41" s="7"/>
      <c r="HR41" s="7"/>
      <c r="HS41" s="7"/>
      <c r="HT41" s="7"/>
      <c r="HU41" s="7"/>
      <c r="HV41" s="7"/>
      <c r="HW41" s="7"/>
      <c r="HX41" s="7"/>
      <c r="HY41" s="7"/>
      <c r="HZ41" s="7"/>
      <c r="IA41" s="7"/>
      <c r="IB41" s="7"/>
      <c r="IC41" s="7"/>
      <c r="ID41" s="7"/>
      <c r="IE41" s="7"/>
      <c r="IF41" s="7"/>
      <c r="IG41" s="7"/>
      <c r="IH41" s="7"/>
      <c r="II41" s="7"/>
      <c r="IJ41" s="7"/>
      <c r="IK41" s="7"/>
      <c r="IL41" s="7"/>
      <c r="IM41" s="7"/>
      <c r="IN41" s="7"/>
      <c r="IO41" s="7"/>
      <c r="IP41" s="7"/>
      <c r="IQ41" s="7"/>
      <c r="IR41" s="7"/>
      <c r="IS41" s="7"/>
      <c r="IT41" s="7"/>
      <c r="IU41" s="7"/>
      <c r="IV41" s="7"/>
      <c r="IW41" s="7"/>
      <c r="IX41" s="7"/>
      <c r="IY41" s="7"/>
      <c r="IZ41" s="7"/>
      <c r="JA41" s="7"/>
      <c r="JB41" s="7"/>
      <c r="JC41" s="7"/>
      <c r="JD41" s="7"/>
      <c r="JE41" s="7"/>
      <c r="JF41" s="7"/>
      <c r="JG41" s="7"/>
      <c r="JH41" s="7"/>
      <c r="JI41" s="7"/>
      <c r="JJ41" s="7"/>
      <c r="JK41" s="7"/>
      <c r="JL41" s="7"/>
      <c r="JM41" s="7"/>
      <c r="JN41" s="7"/>
      <c r="JO41" s="7"/>
      <c r="JP41" s="7"/>
      <c r="JQ41" s="7"/>
      <c r="JR41" s="7"/>
      <c r="JS41" s="7"/>
      <c r="JT41" s="7"/>
      <c r="JU41" s="7"/>
      <c r="JV41" s="7"/>
      <c r="JW41" s="7"/>
      <c r="JX41" s="7"/>
      <c r="JY41" s="7"/>
      <c r="JZ41" s="7"/>
      <c r="KA41" s="7"/>
      <c r="KB41" s="7"/>
      <c r="KC41" s="7"/>
      <c r="KD41" s="7"/>
      <c r="KE41" s="7"/>
      <c r="KF41" s="7"/>
      <c r="KG41" s="7"/>
      <c r="KH41" s="7"/>
      <c r="KI41" s="7"/>
      <c r="KJ41" s="7"/>
      <c r="KK41" s="7"/>
      <c r="KL41" s="7"/>
      <c r="KM41" s="7"/>
      <c r="KN41" s="7"/>
      <c r="KO41" s="7"/>
      <c r="KP41" s="7"/>
      <c r="KQ41" s="7"/>
      <c r="KR41" s="7"/>
      <c r="KS41" s="7"/>
      <c r="KT41" s="7"/>
      <c r="KU41" s="7"/>
      <c r="KV41" s="7"/>
      <c r="KW41" s="7"/>
      <c r="KX41" s="7"/>
      <c r="KY41" s="7"/>
      <c r="KZ41" s="7"/>
      <c r="LA41" s="7"/>
      <c r="LB41" s="7"/>
      <c r="LC41" s="7"/>
      <c r="LD41" s="7"/>
      <c r="LE41" s="7"/>
      <c r="LF41" s="7"/>
      <c r="LG41" s="7"/>
      <c r="LH41" s="7"/>
      <c r="LI41" s="7"/>
      <c r="LJ41" s="7"/>
      <c r="LK41" s="7"/>
      <c r="LL41" s="7"/>
      <c r="LM41" s="7"/>
      <c r="LN41" s="7"/>
      <c r="LO41" s="7"/>
      <c r="LP41" s="7"/>
      <c r="LQ41" s="7"/>
      <c r="LR41" s="7"/>
    </row>
    <row r="42" spans="22:330" s="6" customFormat="1" x14ac:dyDescent="0.25">
      <c r="V42" s="7"/>
      <c r="W42" s="7"/>
      <c r="X42" s="7"/>
      <c r="Y42" s="7"/>
      <c r="Z42" s="7"/>
      <c r="AA42" s="7"/>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c r="BB42" s="7"/>
      <c r="BC42" s="7"/>
      <c r="BD42" s="7"/>
      <c r="BE42" s="7"/>
      <c r="BF42" s="7"/>
      <c r="BG42" s="7"/>
      <c r="BH42" s="7"/>
      <c r="BI42" s="7"/>
      <c r="BJ42" s="7"/>
      <c r="BK42" s="7"/>
      <c r="BL42" s="7"/>
      <c r="BM42" s="7"/>
      <c r="BN42" s="7"/>
      <c r="BO42" s="7"/>
      <c r="BP42" s="7"/>
      <c r="BQ42" s="7"/>
      <c r="BR42" s="7"/>
      <c r="BS42" s="7"/>
      <c r="BT42" s="7"/>
      <c r="BU42" s="7"/>
      <c r="BV42" s="7"/>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S42" s="7"/>
      <c r="DT42" s="7"/>
      <c r="DU42" s="7"/>
      <c r="DV42" s="7"/>
      <c r="DW42" s="7"/>
      <c r="DX42" s="7"/>
      <c r="DY42" s="7"/>
      <c r="DZ42" s="7"/>
      <c r="EA42" s="7"/>
      <c r="EB42" s="7"/>
      <c r="EC42" s="7"/>
      <c r="ED42" s="7"/>
      <c r="EE42" s="7"/>
      <c r="EF42" s="7"/>
      <c r="EG42" s="7"/>
      <c r="EH42" s="7"/>
      <c r="EI42" s="7"/>
      <c r="EJ42" s="7"/>
      <c r="EK42" s="7"/>
      <c r="EL42" s="7"/>
      <c r="EM42" s="7"/>
      <c r="EN42" s="7"/>
      <c r="EO42" s="7"/>
      <c r="EP42" s="7"/>
      <c r="EQ42" s="7"/>
      <c r="ER42" s="7"/>
      <c r="ES42" s="7"/>
      <c r="ET42" s="7"/>
      <c r="EU42" s="7"/>
      <c r="EV42" s="7"/>
      <c r="EW42" s="7"/>
      <c r="EX42" s="7"/>
      <c r="EY42" s="7"/>
      <c r="EZ42" s="7"/>
      <c r="FA42" s="7"/>
      <c r="FB42" s="7"/>
      <c r="FC42" s="7"/>
      <c r="FD42" s="7"/>
      <c r="FE42" s="7"/>
      <c r="FF42" s="7"/>
      <c r="FG42" s="7"/>
      <c r="FH42" s="7"/>
      <c r="FI42" s="7"/>
      <c r="FJ42" s="7"/>
      <c r="FK42" s="7"/>
      <c r="FL42" s="7"/>
      <c r="FM42" s="7"/>
      <c r="FN42" s="7"/>
      <c r="FO42" s="7"/>
      <c r="FP42" s="7"/>
      <c r="FQ42" s="7"/>
      <c r="FR42" s="7"/>
      <c r="FS42" s="7"/>
      <c r="FT42" s="7"/>
      <c r="FU42" s="7"/>
      <c r="FV42" s="7"/>
      <c r="FW42" s="7"/>
      <c r="FX42" s="7"/>
      <c r="FY42" s="7"/>
      <c r="FZ42" s="7"/>
      <c r="GA42" s="7"/>
      <c r="GB42" s="7"/>
      <c r="GC42" s="7"/>
      <c r="GD42" s="7"/>
      <c r="GE42" s="7"/>
      <c r="GF42" s="7"/>
      <c r="GG42" s="7"/>
      <c r="GH42" s="7"/>
      <c r="GI42" s="7"/>
      <c r="GJ42" s="7"/>
      <c r="GK42" s="7"/>
      <c r="GL42" s="7"/>
      <c r="GM42" s="7"/>
      <c r="GN42" s="7"/>
      <c r="GO42" s="7"/>
      <c r="GP42" s="7"/>
      <c r="GQ42" s="7"/>
      <c r="GR42" s="7"/>
      <c r="GS42" s="7"/>
      <c r="GT42" s="7"/>
      <c r="GU42" s="7"/>
      <c r="GV42" s="7"/>
      <c r="GW42" s="7"/>
      <c r="GX42" s="7"/>
      <c r="GY42" s="7"/>
      <c r="GZ42" s="7"/>
      <c r="HA42" s="7"/>
      <c r="HB42" s="7"/>
      <c r="HC42" s="7"/>
      <c r="HD42" s="7"/>
      <c r="HE42" s="7"/>
      <c r="HF42" s="7"/>
      <c r="HG42" s="7"/>
      <c r="HH42" s="7"/>
      <c r="HI42" s="7"/>
      <c r="HJ42" s="7"/>
      <c r="HK42" s="7"/>
      <c r="HL42" s="7"/>
      <c r="HM42" s="7"/>
      <c r="HN42" s="7"/>
      <c r="HO42" s="7"/>
      <c r="HP42" s="7"/>
      <c r="HQ42" s="7"/>
      <c r="HR42" s="7"/>
      <c r="HS42" s="7"/>
      <c r="HT42" s="7"/>
      <c r="HU42" s="7"/>
      <c r="HV42" s="7"/>
      <c r="HW42" s="7"/>
      <c r="HX42" s="7"/>
      <c r="HY42" s="7"/>
      <c r="HZ42" s="7"/>
      <c r="IA42" s="7"/>
      <c r="IB42" s="7"/>
      <c r="IC42" s="7"/>
      <c r="ID42" s="7"/>
      <c r="IE42" s="7"/>
      <c r="IF42" s="7"/>
      <c r="IG42" s="7"/>
      <c r="IH42" s="7"/>
      <c r="II42" s="7"/>
      <c r="IJ42" s="7"/>
      <c r="IK42" s="7"/>
      <c r="IL42" s="7"/>
      <c r="IM42" s="7"/>
      <c r="IN42" s="7"/>
      <c r="IO42" s="7"/>
      <c r="IP42" s="7"/>
      <c r="IQ42" s="7"/>
      <c r="IR42" s="7"/>
      <c r="IS42" s="7"/>
      <c r="IT42" s="7"/>
      <c r="IU42" s="7"/>
      <c r="IV42" s="7"/>
      <c r="IW42" s="7"/>
      <c r="IX42" s="7"/>
      <c r="IY42" s="7"/>
      <c r="IZ42" s="7"/>
      <c r="JA42" s="7"/>
      <c r="JB42" s="7"/>
      <c r="JC42" s="7"/>
      <c r="JD42" s="7"/>
      <c r="JE42" s="7"/>
      <c r="JF42" s="7"/>
      <c r="JG42" s="7"/>
      <c r="JH42" s="7"/>
      <c r="JI42" s="7"/>
      <c r="JJ42" s="7"/>
      <c r="JK42" s="7"/>
      <c r="JL42" s="7"/>
      <c r="JM42" s="7"/>
      <c r="JN42" s="7"/>
      <c r="JO42" s="7"/>
      <c r="JP42" s="7"/>
      <c r="JQ42" s="7"/>
      <c r="JR42" s="7"/>
      <c r="JS42" s="7"/>
      <c r="JT42" s="7"/>
      <c r="JU42" s="7"/>
      <c r="JV42" s="7"/>
      <c r="JW42" s="7"/>
      <c r="JX42" s="7"/>
      <c r="JY42" s="7"/>
      <c r="JZ42" s="7"/>
      <c r="KA42" s="7"/>
      <c r="KB42" s="7"/>
      <c r="KC42" s="7"/>
      <c r="KD42" s="7"/>
      <c r="KE42" s="7"/>
      <c r="KF42" s="7"/>
      <c r="KG42" s="7"/>
      <c r="KH42" s="7"/>
      <c r="KI42" s="7"/>
      <c r="KJ42" s="7"/>
      <c r="KK42" s="7"/>
      <c r="KL42" s="7"/>
      <c r="KM42" s="7"/>
      <c r="KN42" s="7"/>
      <c r="KO42" s="7"/>
      <c r="KP42" s="7"/>
      <c r="KQ42" s="7"/>
      <c r="KR42" s="7"/>
      <c r="KS42" s="7"/>
      <c r="KT42" s="7"/>
      <c r="KU42" s="7"/>
      <c r="KV42" s="7"/>
      <c r="KW42" s="7"/>
      <c r="KX42" s="7"/>
      <c r="KY42" s="7"/>
      <c r="KZ42" s="7"/>
      <c r="LA42" s="7"/>
      <c r="LB42" s="7"/>
      <c r="LC42" s="7"/>
      <c r="LD42" s="7"/>
      <c r="LE42" s="7"/>
      <c r="LF42" s="7"/>
      <c r="LG42" s="7"/>
      <c r="LH42" s="7"/>
      <c r="LI42" s="7"/>
      <c r="LJ42" s="7"/>
      <c r="LK42" s="7"/>
      <c r="LL42" s="7"/>
      <c r="LM42" s="7"/>
      <c r="LN42" s="7"/>
      <c r="LO42" s="7"/>
      <c r="LP42" s="7"/>
      <c r="LQ42" s="7"/>
      <c r="LR42" s="7"/>
    </row>
    <row r="43" spans="22:330" s="6" customFormat="1" x14ac:dyDescent="0.25">
      <c r="V43" s="7"/>
      <c r="W43" s="7"/>
      <c r="X43" s="7"/>
      <c r="Y43" s="7"/>
      <c r="Z43" s="7"/>
      <c r="AA43" s="7"/>
      <c r="AB43" s="7"/>
      <c r="AC43" s="7"/>
      <c r="AD43" s="7"/>
      <c r="AE43" s="7"/>
      <c r="AF43" s="7"/>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S43" s="7"/>
      <c r="DT43" s="7"/>
      <c r="DU43" s="7"/>
      <c r="DV43" s="7"/>
      <c r="DW43" s="7"/>
      <c r="DX43" s="7"/>
      <c r="DY43" s="7"/>
      <c r="DZ43" s="7"/>
      <c r="EA43" s="7"/>
      <c r="EB43" s="7"/>
      <c r="EC43" s="7"/>
      <c r="ED43" s="7"/>
      <c r="EE43" s="7"/>
      <c r="EF43" s="7"/>
      <c r="EG43" s="7"/>
      <c r="EH43" s="7"/>
      <c r="EI43" s="7"/>
      <c r="EJ43" s="7"/>
      <c r="EK43" s="7"/>
      <c r="EL43" s="7"/>
      <c r="EM43" s="7"/>
      <c r="EN43" s="7"/>
      <c r="EO43" s="7"/>
      <c r="EP43" s="7"/>
      <c r="EQ43" s="7"/>
      <c r="ER43" s="7"/>
      <c r="ES43" s="7"/>
      <c r="ET43" s="7"/>
      <c r="EU43" s="7"/>
      <c r="EV43" s="7"/>
      <c r="EW43" s="7"/>
      <c r="EX43" s="7"/>
      <c r="EY43" s="7"/>
      <c r="EZ43" s="7"/>
      <c r="FA43" s="7"/>
      <c r="FB43" s="7"/>
      <c r="FC43" s="7"/>
      <c r="FD43" s="7"/>
      <c r="FE43" s="7"/>
      <c r="FF43" s="7"/>
      <c r="FG43" s="7"/>
      <c r="FH43" s="7"/>
      <c r="FI43" s="7"/>
      <c r="FJ43" s="7"/>
      <c r="FK43" s="7"/>
      <c r="FL43" s="7"/>
      <c r="FM43" s="7"/>
      <c r="FN43" s="7"/>
      <c r="FO43" s="7"/>
      <c r="FP43" s="7"/>
      <c r="FQ43" s="7"/>
      <c r="FR43" s="7"/>
      <c r="FS43" s="7"/>
      <c r="FT43" s="7"/>
      <c r="FU43" s="7"/>
      <c r="FV43" s="7"/>
      <c r="FW43" s="7"/>
      <c r="FX43" s="7"/>
      <c r="FY43" s="7"/>
      <c r="FZ43" s="7"/>
      <c r="GA43" s="7"/>
      <c r="GB43" s="7"/>
      <c r="GC43" s="7"/>
      <c r="GD43" s="7"/>
      <c r="GE43" s="7"/>
      <c r="GF43" s="7"/>
      <c r="GG43" s="7"/>
      <c r="GH43" s="7"/>
      <c r="GI43" s="7"/>
      <c r="GJ43" s="7"/>
      <c r="GK43" s="7"/>
      <c r="GL43" s="7"/>
      <c r="GM43" s="7"/>
      <c r="GN43" s="7"/>
      <c r="GO43" s="7"/>
      <c r="GP43" s="7"/>
      <c r="GQ43" s="7"/>
      <c r="GR43" s="7"/>
      <c r="GS43" s="7"/>
      <c r="GT43" s="7"/>
      <c r="GU43" s="7"/>
      <c r="GV43" s="7"/>
      <c r="GW43" s="7"/>
      <c r="GX43" s="7"/>
      <c r="GY43" s="7"/>
      <c r="GZ43" s="7"/>
      <c r="HA43" s="7"/>
      <c r="HB43" s="7"/>
      <c r="HC43" s="7"/>
      <c r="HD43" s="7"/>
      <c r="HE43" s="7"/>
      <c r="HF43" s="7"/>
      <c r="HG43" s="7"/>
      <c r="HH43" s="7"/>
      <c r="HI43" s="7"/>
      <c r="HJ43" s="7"/>
      <c r="HK43" s="7"/>
      <c r="HL43" s="7"/>
      <c r="HM43" s="7"/>
      <c r="HN43" s="7"/>
      <c r="HO43" s="7"/>
      <c r="HP43" s="7"/>
      <c r="HQ43" s="7"/>
      <c r="HR43" s="7"/>
      <c r="HS43" s="7"/>
      <c r="HT43" s="7"/>
      <c r="HU43" s="7"/>
      <c r="HV43" s="7"/>
      <c r="HW43" s="7"/>
      <c r="HX43" s="7"/>
      <c r="HY43" s="7"/>
      <c r="HZ43" s="7"/>
      <c r="IA43" s="7"/>
      <c r="IB43" s="7"/>
      <c r="IC43" s="7"/>
      <c r="ID43" s="7"/>
      <c r="IE43" s="7"/>
      <c r="IF43" s="7"/>
      <c r="IG43" s="7"/>
      <c r="IH43" s="7"/>
      <c r="II43" s="7"/>
      <c r="IJ43" s="7"/>
      <c r="IK43" s="7"/>
      <c r="IL43" s="7"/>
      <c r="IM43" s="7"/>
      <c r="IN43" s="7"/>
      <c r="IO43" s="7"/>
      <c r="IP43" s="7"/>
      <c r="IQ43" s="7"/>
      <c r="IR43" s="7"/>
      <c r="IS43" s="7"/>
      <c r="IT43" s="7"/>
      <c r="IU43" s="7"/>
      <c r="IV43" s="7"/>
      <c r="IW43" s="7"/>
      <c r="IX43" s="7"/>
      <c r="IY43" s="7"/>
      <c r="IZ43" s="7"/>
      <c r="JA43" s="7"/>
      <c r="JB43" s="7"/>
      <c r="JC43" s="7"/>
      <c r="JD43" s="7"/>
      <c r="JE43" s="7"/>
      <c r="JF43" s="7"/>
      <c r="JG43" s="7"/>
      <c r="JH43" s="7"/>
      <c r="JI43" s="7"/>
      <c r="JJ43" s="7"/>
      <c r="JK43" s="7"/>
      <c r="JL43" s="7"/>
      <c r="JM43" s="7"/>
      <c r="JN43" s="7"/>
      <c r="JO43" s="7"/>
      <c r="JP43" s="7"/>
      <c r="JQ43" s="7"/>
      <c r="JR43" s="7"/>
      <c r="JS43" s="7"/>
      <c r="JT43" s="7"/>
      <c r="JU43" s="7"/>
      <c r="JV43" s="7"/>
      <c r="JW43" s="7"/>
      <c r="JX43" s="7"/>
      <c r="JY43" s="7"/>
      <c r="JZ43" s="7"/>
      <c r="KA43" s="7"/>
      <c r="KB43" s="7"/>
      <c r="KC43" s="7"/>
      <c r="KD43" s="7"/>
      <c r="KE43" s="7"/>
      <c r="KF43" s="7"/>
      <c r="KG43" s="7"/>
      <c r="KH43" s="7"/>
      <c r="KI43" s="7"/>
      <c r="KJ43" s="7"/>
      <c r="KK43" s="7"/>
      <c r="KL43" s="7"/>
      <c r="KM43" s="7"/>
      <c r="KN43" s="7"/>
      <c r="KO43" s="7"/>
      <c r="KP43" s="7"/>
      <c r="KQ43" s="7"/>
      <c r="KR43" s="7"/>
      <c r="KS43" s="7"/>
      <c r="KT43" s="7"/>
      <c r="KU43" s="7"/>
      <c r="KV43" s="7"/>
      <c r="KW43" s="7"/>
      <c r="KX43" s="7"/>
      <c r="KY43" s="7"/>
      <c r="KZ43" s="7"/>
      <c r="LA43" s="7"/>
      <c r="LB43" s="7"/>
      <c r="LC43" s="7"/>
      <c r="LD43" s="7"/>
      <c r="LE43" s="7"/>
      <c r="LF43" s="7"/>
      <c r="LG43" s="7"/>
      <c r="LH43" s="7"/>
      <c r="LI43" s="7"/>
      <c r="LJ43" s="7"/>
      <c r="LK43" s="7"/>
      <c r="LL43" s="7"/>
      <c r="LM43" s="7"/>
      <c r="LN43" s="7"/>
      <c r="LO43" s="7"/>
      <c r="LP43" s="7"/>
      <c r="LQ43" s="7"/>
      <c r="LR43" s="7"/>
    </row>
    <row r="44" spans="22:330" s="6" customFormat="1" x14ac:dyDescent="0.25">
      <c r="V44" s="7"/>
      <c r="W44" s="7"/>
      <c r="X44" s="7"/>
      <c r="Y44" s="7"/>
      <c r="Z44" s="7"/>
      <c r="AA44" s="7"/>
      <c r="AB44" s="7"/>
      <c r="AC44" s="7"/>
      <c r="AD44" s="7"/>
      <c r="AE44" s="7"/>
      <c r="AF44" s="7"/>
      <c r="AG44" s="7"/>
      <c r="AH44" s="7"/>
      <c r="AI44" s="7"/>
      <c r="AJ44" s="7"/>
      <c r="AK44" s="7"/>
      <c r="AL44" s="7"/>
      <c r="AM44" s="7"/>
      <c r="AN44" s="7"/>
      <c r="AO44" s="7"/>
      <c r="AP44" s="7"/>
      <c r="AQ44" s="7"/>
      <c r="AR44" s="7"/>
      <c r="AS44" s="7"/>
      <c r="AT44" s="7"/>
      <c r="AU44" s="7"/>
      <c r="AV44" s="7"/>
      <c r="AW44" s="7"/>
      <c r="AX44" s="7"/>
      <c r="AY44" s="7"/>
      <c r="AZ44" s="7"/>
      <c r="BA44" s="7"/>
      <c r="BB44" s="7"/>
      <c r="BC44" s="7"/>
      <c r="BD44" s="7"/>
      <c r="BE44" s="7"/>
      <c r="BF44" s="7"/>
      <c r="BG44" s="7"/>
      <c r="BH44" s="7"/>
      <c r="BI44" s="7"/>
      <c r="BJ44" s="7"/>
      <c r="BK44" s="7"/>
      <c r="BL44" s="7"/>
      <c r="BM44" s="7"/>
      <c r="BN44" s="7"/>
      <c r="BO44" s="7"/>
      <c r="BP44" s="7"/>
      <c r="BQ44" s="7"/>
      <c r="BR44" s="7"/>
      <c r="BS44" s="7"/>
      <c r="BT44" s="7"/>
      <c r="BU44" s="7"/>
      <c r="BV44" s="7"/>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S44" s="7"/>
      <c r="DT44" s="7"/>
      <c r="DU44" s="7"/>
      <c r="DV44" s="7"/>
      <c r="DW44" s="7"/>
      <c r="DX44" s="7"/>
      <c r="DY44" s="7"/>
      <c r="DZ44" s="7"/>
      <c r="EA44" s="7"/>
      <c r="EB44" s="7"/>
      <c r="EC44" s="7"/>
      <c r="ED44" s="7"/>
      <c r="EE44" s="7"/>
      <c r="EF44" s="7"/>
      <c r="EG44" s="7"/>
      <c r="EH44" s="7"/>
      <c r="EI44" s="7"/>
      <c r="EJ44" s="7"/>
      <c r="EK44" s="7"/>
      <c r="EL44" s="7"/>
      <c r="EM44" s="7"/>
      <c r="EN44" s="7"/>
      <c r="EO44" s="7"/>
      <c r="EP44" s="7"/>
      <c r="EQ44" s="7"/>
      <c r="ER44" s="7"/>
      <c r="ES44" s="7"/>
      <c r="ET44" s="7"/>
      <c r="EU44" s="7"/>
      <c r="EV44" s="7"/>
      <c r="EW44" s="7"/>
      <c r="EX44" s="7"/>
      <c r="EY44" s="7"/>
      <c r="EZ44" s="7"/>
      <c r="FA44" s="7"/>
      <c r="FB44" s="7"/>
      <c r="FC44" s="7"/>
      <c r="FD44" s="7"/>
      <c r="FE44" s="7"/>
      <c r="FF44" s="7"/>
      <c r="FG44" s="7"/>
      <c r="FH44" s="7"/>
      <c r="FI44" s="7"/>
      <c r="FJ44" s="7"/>
      <c r="FK44" s="7"/>
      <c r="FL44" s="7"/>
      <c r="FM44" s="7"/>
      <c r="FN44" s="7"/>
      <c r="FO44" s="7"/>
      <c r="FP44" s="7"/>
      <c r="FQ44" s="7"/>
      <c r="FR44" s="7"/>
      <c r="FS44" s="7"/>
      <c r="FT44" s="7"/>
      <c r="FU44" s="7"/>
      <c r="FV44" s="7"/>
      <c r="FW44" s="7"/>
      <c r="FX44" s="7"/>
      <c r="FY44" s="7"/>
      <c r="FZ44" s="7"/>
      <c r="GA44" s="7"/>
      <c r="GB44" s="7"/>
      <c r="GC44" s="7"/>
      <c r="GD44" s="7"/>
      <c r="GE44" s="7"/>
      <c r="GF44" s="7"/>
      <c r="GG44" s="7"/>
      <c r="GH44" s="7"/>
      <c r="GI44" s="7"/>
      <c r="GJ44" s="7"/>
      <c r="GK44" s="7"/>
      <c r="GL44" s="7"/>
      <c r="GM44" s="7"/>
      <c r="GN44" s="7"/>
      <c r="GO44" s="7"/>
      <c r="GP44" s="7"/>
      <c r="GQ44" s="7"/>
      <c r="GR44" s="7"/>
      <c r="GS44" s="7"/>
      <c r="GT44" s="7"/>
      <c r="GU44" s="7"/>
      <c r="GV44" s="7"/>
      <c r="GW44" s="7"/>
      <c r="GX44" s="7"/>
      <c r="GY44" s="7"/>
      <c r="GZ44" s="7"/>
      <c r="HA44" s="7"/>
      <c r="HB44" s="7"/>
      <c r="HC44" s="7"/>
      <c r="HD44" s="7"/>
      <c r="HE44" s="7"/>
      <c r="HF44" s="7"/>
      <c r="HG44" s="7"/>
      <c r="HH44" s="7"/>
      <c r="HI44" s="7"/>
      <c r="HJ44" s="7"/>
      <c r="HK44" s="7"/>
      <c r="HL44" s="7"/>
      <c r="HM44" s="7"/>
      <c r="HN44" s="7"/>
      <c r="HO44" s="7"/>
      <c r="HP44" s="7"/>
      <c r="HQ44" s="7"/>
      <c r="HR44" s="7"/>
      <c r="HS44" s="7"/>
      <c r="HT44" s="7"/>
      <c r="HU44" s="7"/>
      <c r="HV44" s="7"/>
      <c r="HW44" s="7"/>
      <c r="HX44" s="7"/>
      <c r="HY44" s="7"/>
      <c r="HZ44" s="7"/>
      <c r="IA44" s="7"/>
      <c r="IB44" s="7"/>
      <c r="IC44" s="7"/>
      <c r="ID44" s="7"/>
      <c r="IE44" s="7"/>
      <c r="IF44" s="7"/>
      <c r="IG44" s="7"/>
      <c r="IH44" s="7"/>
      <c r="II44" s="7"/>
      <c r="IJ44" s="7"/>
      <c r="IK44" s="7"/>
      <c r="IL44" s="7"/>
      <c r="IM44" s="7"/>
      <c r="IN44" s="7"/>
      <c r="IO44" s="7"/>
      <c r="IP44" s="7"/>
      <c r="IQ44" s="7"/>
      <c r="IR44" s="7"/>
      <c r="IS44" s="7"/>
      <c r="IT44" s="7"/>
      <c r="IU44" s="7"/>
      <c r="IV44" s="7"/>
      <c r="IW44" s="7"/>
      <c r="IX44" s="7"/>
      <c r="IY44" s="7"/>
      <c r="IZ44" s="7"/>
      <c r="JA44" s="7"/>
      <c r="JB44" s="7"/>
      <c r="JC44" s="7"/>
      <c r="JD44" s="7"/>
      <c r="JE44" s="7"/>
      <c r="JF44" s="7"/>
      <c r="JG44" s="7"/>
      <c r="JH44" s="7"/>
      <c r="JI44" s="7"/>
      <c r="JJ44" s="7"/>
      <c r="JK44" s="7"/>
      <c r="JL44" s="7"/>
      <c r="JM44" s="7"/>
      <c r="JN44" s="7"/>
      <c r="JO44" s="7"/>
      <c r="JP44" s="7"/>
      <c r="JQ44" s="7"/>
      <c r="JR44" s="7"/>
      <c r="JS44" s="7"/>
      <c r="JT44" s="7"/>
      <c r="JU44" s="7"/>
      <c r="JV44" s="7"/>
      <c r="JW44" s="7"/>
      <c r="JX44" s="7"/>
      <c r="JY44" s="7"/>
      <c r="JZ44" s="7"/>
      <c r="KA44" s="7"/>
      <c r="KB44" s="7"/>
      <c r="KC44" s="7"/>
      <c r="KD44" s="7"/>
      <c r="KE44" s="7"/>
      <c r="KF44" s="7"/>
      <c r="KG44" s="7"/>
      <c r="KH44" s="7"/>
      <c r="KI44" s="7"/>
      <c r="KJ44" s="7"/>
      <c r="KK44" s="7"/>
      <c r="KL44" s="7"/>
      <c r="KM44" s="7"/>
      <c r="KN44" s="7"/>
      <c r="KO44" s="7"/>
      <c r="KP44" s="7"/>
      <c r="KQ44" s="7"/>
      <c r="KR44" s="7"/>
      <c r="KS44" s="7"/>
      <c r="KT44" s="7"/>
      <c r="KU44" s="7"/>
      <c r="KV44" s="7"/>
      <c r="KW44" s="7"/>
      <c r="KX44" s="7"/>
      <c r="KY44" s="7"/>
      <c r="KZ44" s="7"/>
      <c r="LA44" s="7"/>
      <c r="LB44" s="7"/>
      <c r="LC44" s="7"/>
      <c r="LD44" s="7"/>
      <c r="LE44" s="7"/>
      <c r="LF44" s="7"/>
      <c r="LG44" s="7"/>
      <c r="LH44" s="7"/>
      <c r="LI44" s="7"/>
      <c r="LJ44" s="7"/>
      <c r="LK44" s="7"/>
      <c r="LL44" s="7"/>
      <c r="LM44" s="7"/>
      <c r="LN44" s="7"/>
      <c r="LO44" s="7"/>
      <c r="LP44" s="7"/>
      <c r="LQ44" s="7"/>
      <c r="LR44" s="7"/>
    </row>
    <row r="45" spans="22:330" s="6" customFormat="1" x14ac:dyDescent="0.25">
      <c r="V45" s="7"/>
      <c r="W45" s="7"/>
      <c r="X45" s="7"/>
      <c r="Y45" s="7"/>
      <c r="Z45" s="7"/>
      <c r="AA45" s="7"/>
      <c r="AB45" s="7"/>
      <c r="AC45" s="7"/>
      <c r="AD45" s="7"/>
      <c r="AE45" s="7"/>
      <c r="AF45" s="7"/>
      <c r="AG45" s="7"/>
      <c r="AH45" s="7"/>
      <c r="AI45" s="7"/>
      <c r="AJ45" s="7"/>
      <c r="AK45" s="7"/>
      <c r="AL45" s="7"/>
      <c r="AM45" s="7"/>
      <c r="AN45" s="7"/>
      <c r="AO45" s="7"/>
      <c r="AP45" s="7"/>
      <c r="AQ45" s="7"/>
      <c r="AR45" s="7"/>
      <c r="AS45" s="7"/>
      <c r="AT45" s="7"/>
      <c r="AU45" s="7"/>
      <c r="AV45" s="7"/>
      <c r="AW45" s="7"/>
      <c r="AX45" s="7"/>
      <c r="AY45" s="7"/>
      <c r="AZ45" s="7"/>
      <c r="BA45" s="7"/>
      <c r="BB45" s="7"/>
      <c r="BC45" s="7"/>
      <c r="BD45" s="7"/>
      <c r="BE45" s="7"/>
      <c r="BF45" s="7"/>
      <c r="BG45" s="7"/>
      <c r="BH45" s="7"/>
      <c r="BI45" s="7"/>
      <c r="BJ45" s="7"/>
      <c r="BK45" s="7"/>
      <c r="BL45" s="7"/>
      <c r="BM45" s="7"/>
      <c r="BN45" s="7"/>
      <c r="BO45" s="7"/>
      <c r="BP45" s="7"/>
      <c r="BQ45" s="7"/>
      <c r="BR45" s="7"/>
      <c r="BS45" s="7"/>
      <c r="BT45" s="7"/>
      <c r="BU45" s="7"/>
      <c r="BV45" s="7"/>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S45" s="7"/>
      <c r="DT45" s="7"/>
      <c r="DU45" s="7"/>
      <c r="DV45" s="7"/>
      <c r="DW45" s="7"/>
      <c r="DX45" s="7"/>
      <c r="DY45" s="7"/>
      <c r="DZ45" s="7"/>
      <c r="EA45" s="7"/>
      <c r="EB45" s="7"/>
      <c r="EC45" s="7"/>
      <c r="ED45" s="7"/>
      <c r="EE45" s="7"/>
      <c r="EF45" s="7"/>
      <c r="EG45" s="7"/>
      <c r="EH45" s="7"/>
      <c r="EI45" s="7"/>
      <c r="EJ45" s="7"/>
      <c r="EK45" s="7"/>
      <c r="EL45" s="7"/>
      <c r="EM45" s="7"/>
      <c r="EN45" s="7"/>
      <c r="EO45" s="7"/>
      <c r="EP45" s="7"/>
      <c r="EQ45" s="7"/>
      <c r="ER45" s="7"/>
      <c r="ES45" s="7"/>
      <c r="ET45" s="7"/>
      <c r="EU45" s="7"/>
      <c r="EV45" s="7"/>
      <c r="EW45" s="7"/>
      <c r="EX45" s="7"/>
      <c r="EY45" s="7"/>
      <c r="EZ45" s="7"/>
      <c r="FA45" s="7"/>
      <c r="FB45" s="7"/>
      <c r="FC45" s="7"/>
      <c r="FD45" s="7"/>
      <c r="FE45" s="7"/>
      <c r="FF45" s="7"/>
      <c r="FG45" s="7"/>
      <c r="FH45" s="7"/>
      <c r="FI45" s="7"/>
      <c r="FJ45" s="7"/>
      <c r="FK45" s="7"/>
      <c r="FL45" s="7"/>
      <c r="FM45" s="7"/>
      <c r="FN45" s="7"/>
      <c r="FO45" s="7"/>
      <c r="FP45" s="7"/>
      <c r="FQ45" s="7"/>
      <c r="FR45" s="7"/>
      <c r="FS45" s="7"/>
      <c r="FT45" s="7"/>
      <c r="FU45" s="7"/>
      <c r="FV45" s="7"/>
      <c r="FW45" s="7"/>
      <c r="FX45" s="7"/>
      <c r="FY45" s="7"/>
      <c r="FZ45" s="7"/>
      <c r="GA45" s="7"/>
      <c r="GB45" s="7"/>
      <c r="GC45" s="7"/>
      <c r="GD45" s="7"/>
      <c r="GE45" s="7"/>
      <c r="GF45" s="7"/>
      <c r="GG45" s="7"/>
      <c r="GH45" s="7"/>
      <c r="GI45" s="7"/>
      <c r="GJ45" s="7"/>
      <c r="GK45" s="7"/>
      <c r="GL45" s="7"/>
      <c r="GM45" s="7"/>
      <c r="GN45" s="7"/>
      <c r="GO45" s="7"/>
      <c r="GP45" s="7"/>
      <c r="GQ45" s="7"/>
      <c r="GR45" s="7"/>
      <c r="GS45" s="7"/>
      <c r="GT45" s="7"/>
      <c r="GU45" s="7"/>
      <c r="GV45" s="7"/>
      <c r="GW45" s="7"/>
      <c r="GX45" s="7"/>
      <c r="GY45" s="7"/>
      <c r="GZ45" s="7"/>
      <c r="HA45" s="7"/>
      <c r="HB45" s="7"/>
      <c r="HC45" s="7"/>
      <c r="HD45" s="7"/>
      <c r="HE45" s="7"/>
      <c r="HF45" s="7"/>
      <c r="HG45" s="7"/>
      <c r="HH45" s="7"/>
      <c r="HI45" s="7"/>
      <c r="HJ45" s="7"/>
      <c r="HK45" s="7"/>
      <c r="HL45" s="7"/>
      <c r="HM45" s="7"/>
      <c r="HN45" s="7"/>
      <c r="HO45" s="7"/>
      <c r="HP45" s="7"/>
      <c r="HQ45" s="7"/>
      <c r="HR45" s="7"/>
      <c r="HS45" s="7"/>
      <c r="HT45" s="7"/>
      <c r="HU45" s="7"/>
      <c r="HV45" s="7"/>
      <c r="HW45" s="7"/>
      <c r="HX45" s="7"/>
      <c r="HY45" s="7"/>
      <c r="HZ45" s="7"/>
      <c r="IA45" s="7"/>
      <c r="IB45" s="7"/>
      <c r="IC45" s="7"/>
      <c r="ID45" s="7"/>
      <c r="IE45" s="7"/>
      <c r="IF45" s="7"/>
      <c r="IG45" s="7"/>
      <c r="IH45" s="7"/>
      <c r="II45" s="7"/>
      <c r="IJ45" s="7"/>
      <c r="IK45" s="7"/>
      <c r="IL45" s="7"/>
      <c r="IM45" s="7"/>
      <c r="IN45" s="7"/>
      <c r="IO45" s="7"/>
      <c r="IP45" s="7"/>
      <c r="IQ45" s="7"/>
      <c r="IR45" s="7"/>
      <c r="IS45" s="7"/>
      <c r="IT45" s="7"/>
      <c r="IU45" s="7"/>
      <c r="IV45" s="7"/>
      <c r="IW45" s="7"/>
      <c r="IX45" s="7"/>
      <c r="IY45" s="7"/>
      <c r="IZ45" s="7"/>
      <c r="JA45" s="7"/>
      <c r="JB45" s="7"/>
      <c r="JC45" s="7"/>
      <c r="JD45" s="7"/>
      <c r="JE45" s="7"/>
      <c r="JF45" s="7"/>
      <c r="JG45" s="7"/>
      <c r="JH45" s="7"/>
      <c r="JI45" s="7"/>
      <c r="JJ45" s="7"/>
      <c r="JK45" s="7"/>
      <c r="JL45" s="7"/>
      <c r="JM45" s="7"/>
      <c r="JN45" s="7"/>
      <c r="JO45" s="7"/>
      <c r="JP45" s="7"/>
      <c r="JQ45" s="7"/>
      <c r="JR45" s="7"/>
      <c r="JS45" s="7"/>
      <c r="JT45" s="7"/>
      <c r="JU45" s="7"/>
      <c r="JV45" s="7"/>
      <c r="JW45" s="7"/>
      <c r="JX45" s="7"/>
      <c r="JY45" s="7"/>
      <c r="JZ45" s="7"/>
      <c r="KA45" s="7"/>
      <c r="KB45" s="7"/>
      <c r="KC45" s="7"/>
      <c r="KD45" s="7"/>
      <c r="KE45" s="7"/>
      <c r="KF45" s="7"/>
      <c r="KG45" s="7"/>
      <c r="KH45" s="7"/>
      <c r="KI45" s="7"/>
      <c r="KJ45" s="7"/>
      <c r="KK45" s="7"/>
      <c r="KL45" s="7"/>
      <c r="KM45" s="7"/>
      <c r="KN45" s="7"/>
      <c r="KO45" s="7"/>
      <c r="KP45" s="7"/>
      <c r="KQ45" s="7"/>
      <c r="KR45" s="7"/>
      <c r="KS45" s="7"/>
      <c r="KT45" s="7"/>
      <c r="KU45" s="7"/>
      <c r="KV45" s="7"/>
      <c r="KW45" s="7"/>
      <c r="KX45" s="7"/>
      <c r="KY45" s="7"/>
      <c r="KZ45" s="7"/>
      <c r="LA45" s="7"/>
      <c r="LB45" s="7"/>
      <c r="LC45" s="7"/>
      <c r="LD45" s="7"/>
      <c r="LE45" s="7"/>
      <c r="LF45" s="7"/>
      <c r="LG45" s="7"/>
      <c r="LH45" s="7"/>
      <c r="LI45" s="7"/>
      <c r="LJ45" s="7"/>
      <c r="LK45" s="7"/>
      <c r="LL45" s="7"/>
      <c r="LM45" s="7"/>
      <c r="LN45" s="7"/>
      <c r="LO45" s="7"/>
      <c r="LP45" s="7"/>
      <c r="LQ45" s="7"/>
      <c r="LR45" s="7"/>
    </row>
    <row r="46" spans="22:330" s="6" customFormat="1" x14ac:dyDescent="0.25">
      <c r="V46" s="7"/>
      <c r="W46" s="7"/>
      <c r="X46" s="7"/>
      <c r="Y46" s="7"/>
      <c r="Z46" s="7"/>
      <c r="AA46" s="7"/>
      <c r="AB46" s="7"/>
      <c r="AC46" s="7"/>
      <c r="AD46" s="7"/>
      <c r="AE46" s="7"/>
      <c r="AF46" s="7"/>
      <c r="AG46" s="7"/>
      <c r="AH46" s="7"/>
      <c r="AI46" s="7"/>
      <c r="AJ46" s="7"/>
      <c r="AK46" s="7"/>
      <c r="AL46" s="7"/>
      <c r="AM46" s="7"/>
      <c r="AN46" s="7"/>
      <c r="AO46" s="7"/>
      <c r="AP46" s="7"/>
      <c r="AQ46" s="7"/>
      <c r="AR46" s="7"/>
      <c r="AS46" s="7"/>
      <c r="AT46" s="7"/>
      <c r="AU46" s="7"/>
      <c r="AV46" s="7"/>
      <c r="AW46" s="7"/>
      <c r="AX46" s="7"/>
      <c r="AY46" s="7"/>
      <c r="AZ46" s="7"/>
      <c r="BA46" s="7"/>
      <c r="BB46" s="7"/>
      <c r="BC46" s="7"/>
      <c r="BD46" s="7"/>
      <c r="BE46" s="7"/>
      <c r="BF46" s="7"/>
      <c r="BG46" s="7"/>
      <c r="BH46" s="7"/>
      <c r="BI46" s="7"/>
      <c r="BJ46" s="7"/>
      <c r="BK46" s="7"/>
      <c r="BL46" s="7"/>
      <c r="BM46" s="7"/>
      <c r="BN46" s="7"/>
      <c r="BO46" s="7"/>
      <c r="BP46" s="7"/>
      <c r="BQ46" s="7"/>
      <c r="BR46" s="7"/>
      <c r="BS46" s="7"/>
      <c r="BT46" s="7"/>
      <c r="BU46" s="7"/>
      <c r="BV46" s="7"/>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S46" s="7"/>
      <c r="DT46" s="7"/>
      <c r="DU46" s="7"/>
      <c r="DV46" s="7"/>
      <c r="DW46" s="7"/>
      <c r="DX46" s="7"/>
      <c r="DY46" s="7"/>
      <c r="DZ46" s="7"/>
      <c r="EA46" s="7"/>
      <c r="EB46" s="7"/>
      <c r="EC46" s="7"/>
      <c r="ED46" s="7"/>
      <c r="EE46" s="7"/>
      <c r="EF46" s="7"/>
      <c r="EG46" s="7"/>
      <c r="EH46" s="7"/>
      <c r="EI46" s="7"/>
      <c r="EJ46" s="7"/>
      <c r="EK46" s="7"/>
      <c r="EL46" s="7"/>
      <c r="EM46" s="7"/>
      <c r="EN46" s="7"/>
      <c r="EO46" s="7"/>
      <c r="EP46" s="7"/>
      <c r="EQ46" s="7"/>
      <c r="ER46" s="7"/>
      <c r="ES46" s="7"/>
      <c r="ET46" s="7"/>
      <c r="EU46" s="7"/>
      <c r="EV46" s="7"/>
      <c r="EW46" s="7"/>
      <c r="EX46" s="7"/>
      <c r="EY46" s="7"/>
      <c r="EZ46" s="7"/>
      <c r="FA46" s="7"/>
      <c r="FB46" s="7"/>
      <c r="FC46" s="7"/>
      <c r="FD46" s="7"/>
      <c r="FE46" s="7"/>
      <c r="FF46" s="7"/>
      <c r="FG46" s="7"/>
      <c r="FH46" s="7"/>
      <c r="FI46" s="7"/>
      <c r="FJ46" s="7"/>
      <c r="FK46" s="7"/>
      <c r="FL46" s="7"/>
      <c r="FM46" s="7"/>
      <c r="FN46" s="7"/>
      <c r="FO46" s="7"/>
      <c r="FP46" s="7"/>
      <c r="FQ46" s="7"/>
      <c r="FR46" s="7"/>
      <c r="FS46" s="7"/>
      <c r="FT46" s="7"/>
      <c r="FU46" s="7"/>
      <c r="FV46" s="7"/>
      <c r="FW46" s="7"/>
      <c r="FX46" s="7"/>
      <c r="FY46" s="7"/>
      <c r="FZ46" s="7"/>
      <c r="GA46" s="7"/>
      <c r="GB46" s="7"/>
      <c r="GC46" s="7"/>
      <c r="GD46" s="7"/>
      <c r="GE46" s="7"/>
      <c r="GF46" s="7"/>
      <c r="GG46" s="7"/>
      <c r="GH46" s="7"/>
      <c r="GI46" s="7"/>
      <c r="GJ46" s="7"/>
      <c r="GK46" s="7"/>
      <c r="GL46" s="7"/>
      <c r="GM46" s="7"/>
      <c r="GN46" s="7"/>
      <c r="GO46" s="7"/>
      <c r="GP46" s="7"/>
      <c r="GQ46" s="7"/>
      <c r="GR46" s="7"/>
      <c r="GS46" s="7"/>
      <c r="GT46" s="7"/>
      <c r="GU46" s="7"/>
      <c r="GV46" s="7"/>
      <c r="GW46" s="7"/>
      <c r="GX46" s="7"/>
      <c r="GY46" s="7"/>
      <c r="GZ46" s="7"/>
      <c r="HA46" s="7"/>
      <c r="HB46" s="7"/>
      <c r="HC46" s="7"/>
      <c r="HD46" s="7"/>
      <c r="HE46" s="7"/>
      <c r="HF46" s="7"/>
      <c r="HG46" s="7"/>
      <c r="HH46" s="7"/>
      <c r="HI46" s="7"/>
      <c r="HJ46" s="7"/>
      <c r="HK46" s="7"/>
      <c r="HL46" s="7"/>
      <c r="HM46" s="7"/>
      <c r="HN46" s="7"/>
      <c r="HO46" s="7"/>
      <c r="HP46" s="7"/>
      <c r="HQ46" s="7"/>
      <c r="HR46" s="7"/>
      <c r="HS46" s="7"/>
      <c r="HT46" s="7"/>
      <c r="HU46" s="7"/>
      <c r="HV46" s="7"/>
      <c r="HW46" s="7"/>
      <c r="HX46" s="7"/>
      <c r="HY46" s="7"/>
      <c r="HZ46" s="7"/>
      <c r="IA46" s="7"/>
      <c r="IB46" s="7"/>
      <c r="IC46" s="7"/>
      <c r="ID46" s="7"/>
      <c r="IE46" s="7"/>
      <c r="IF46" s="7"/>
      <c r="IG46" s="7"/>
      <c r="IH46" s="7"/>
      <c r="II46" s="7"/>
      <c r="IJ46" s="7"/>
      <c r="IK46" s="7"/>
      <c r="IL46" s="7"/>
      <c r="IM46" s="7"/>
      <c r="IN46" s="7"/>
      <c r="IO46" s="7"/>
      <c r="IP46" s="7"/>
      <c r="IQ46" s="7"/>
      <c r="IR46" s="7"/>
      <c r="IS46" s="7"/>
      <c r="IT46" s="7"/>
      <c r="IU46" s="7"/>
      <c r="IV46" s="7"/>
      <c r="IW46" s="7"/>
      <c r="IX46" s="7"/>
      <c r="IY46" s="7"/>
      <c r="IZ46" s="7"/>
      <c r="JA46" s="7"/>
      <c r="JB46" s="7"/>
      <c r="JC46" s="7"/>
      <c r="JD46" s="7"/>
      <c r="JE46" s="7"/>
      <c r="JF46" s="7"/>
      <c r="JG46" s="7"/>
      <c r="JH46" s="7"/>
      <c r="JI46" s="7"/>
      <c r="JJ46" s="7"/>
      <c r="JK46" s="7"/>
      <c r="JL46" s="7"/>
      <c r="JM46" s="7"/>
      <c r="JN46" s="7"/>
      <c r="JO46" s="7"/>
      <c r="JP46" s="7"/>
      <c r="JQ46" s="7"/>
      <c r="JR46" s="7"/>
      <c r="JS46" s="7"/>
      <c r="JT46" s="7"/>
      <c r="JU46" s="7"/>
      <c r="JV46" s="7"/>
      <c r="JW46" s="7"/>
      <c r="JX46" s="7"/>
      <c r="JY46" s="7"/>
      <c r="JZ46" s="7"/>
      <c r="KA46" s="7"/>
      <c r="KB46" s="7"/>
      <c r="KC46" s="7"/>
      <c r="KD46" s="7"/>
      <c r="KE46" s="7"/>
      <c r="KF46" s="7"/>
      <c r="KG46" s="7"/>
      <c r="KH46" s="7"/>
      <c r="KI46" s="7"/>
      <c r="KJ46" s="7"/>
      <c r="KK46" s="7"/>
      <c r="KL46" s="7"/>
      <c r="KM46" s="7"/>
      <c r="KN46" s="7"/>
      <c r="KO46" s="7"/>
      <c r="KP46" s="7"/>
      <c r="KQ46" s="7"/>
      <c r="KR46" s="7"/>
      <c r="KS46" s="7"/>
      <c r="KT46" s="7"/>
      <c r="KU46" s="7"/>
      <c r="KV46" s="7"/>
      <c r="KW46" s="7"/>
      <c r="KX46" s="7"/>
      <c r="KY46" s="7"/>
      <c r="KZ46" s="7"/>
      <c r="LA46" s="7"/>
      <c r="LB46" s="7"/>
      <c r="LC46" s="7"/>
      <c r="LD46" s="7"/>
      <c r="LE46" s="7"/>
      <c r="LF46" s="7"/>
      <c r="LG46" s="7"/>
      <c r="LH46" s="7"/>
      <c r="LI46" s="7"/>
      <c r="LJ46" s="7"/>
      <c r="LK46" s="7"/>
      <c r="LL46" s="7"/>
      <c r="LM46" s="7"/>
      <c r="LN46" s="7"/>
      <c r="LO46" s="7"/>
      <c r="LP46" s="7"/>
      <c r="LQ46" s="7"/>
      <c r="LR46" s="7"/>
    </row>
    <row r="47" spans="22:330" x14ac:dyDescent="0.25">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c r="GH47" s="4"/>
      <c r="GI47" s="4"/>
      <c r="GJ47" s="4"/>
      <c r="GK47" s="4"/>
      <c r="GL47" s="4"/>
      <c r="GM47" s="4"/>
      <c r="GN47" s="4"/>
      <c r="GO47" s="4"/>
      <c r="GP47" s="4"/>
      <c r="GQ47" s="4"/>
      <c r="GR47" s="4"/>
      <c r="GS47" s="4"/>
      <c r="GT47" s="4"/>
      <c r="GU47" s="4"/>
      <c r="GV47" s="4"/>
      <c r="GW47" s="4"/>
      <c r="GX47" s="4"/>
      <c r="GY47" s="4"/>
      <c r="GZ47" s="4"/>
      <c r="HA47" s="4"/>
      <c r="HB47" s="4"/>
      <c r="HC47" s="4"/>
      <c r="HD47" s="4"/>
      <c r="HE47" s="4"/>
      <c r="HF47" s="4"/>
      <c r="HG47" s="4"/>
      <c r="HH47" s="4"/>
      <c r="HI47" s="4"/>
      <c r="HJ47" s="4"/>
      <c r="HK47" s="4"/>
      <c r="HL47" s="4"/>
      <c r="HM47" s="4"/>
      <c r="HN47" s="4"/>
      <c r="HO47" s="4"/>
      <c r="HP47" s="4"/>
      <c r="HQ47" s="4"/>
      <c r="HR47" s="4"/>
      <c r="HS47" s="4"/>
      <c r="HT47" s="4"/>
      <c r="HU47" s="4"/>
      <c r="HV47" s="4"/>
      <c r="HW47" s="4"/>
      <c r="HX47" s="4"/>
      <c r="HY47" s="4"/>
      <c r="HZ47" s="4"/>
      <c r="IA47" s="4"/>
      <c r="IB47" s="4"/>
      <c r="IC47" s="4"/>
      <c r="ID47" s="4"/>
      <c r="IE47" s="4"/>
      <c r="IF47" s="4"/>
      <c r="IG47" s="4"/>
      <c r="IH47" s="4"/>
      <c r="II47" s="4"/>
      <c r="IJ47" s="4"/>
      <c r="IK47" s="4"/>
      <c r="IL47" s="4"/>
      <c r="IM47" s="4"/>
      <c r="IN47" s="4"/>
      <c r="IO47" s="4"/>
      <c r="IP47" s="4"/>
      <c r="IQ47" s="4"/>
      <c r="IR47" s="4"/>
      <c r="IS47" s="4"/>
      <c r="IT47" s="4"/>
      <c r="IU47" s="4"/>
      <c r="IV47" s="4"/>
      <c r="IW47" s="4"/>
      <c r="IX47" s="4"/>
      <c r="IY47" s="4"/>
      <c r="IZ47" s="4"/>
      <c r="JA47" s="4"/>
      <c r="JB47" s="4"/>
      <c r="JC47" s="4"/>
      <c r="JD47" s="4"/>
      <c r="JE47" s="4"/>
      <c r="JF47" s="4"/>
      <c r="JG47" s="4"/>
      <c r="JH47" s="4"/>
      <c r="JI47" s="4"/>
      <c r="JJ47" s="4"/>
      <c r="JK47" s="4"/>
      <c r="JL47" s="4"/>
      <c r="JM47" s="4"/>
      <c r="JN47" s="4"/>
      <c r="JO47" s="4"/>
      <c r="JP47" s="4"/>
      <c r="JQ47" s="4"/>
      <c r="JR47" s="4"/>
      <c r="JS47" s="4"/>
      <c r="JT47" s="4"/>
      <c r="JU47" s="4"/>
      <c r="JV47" s="4"/>
      <c r="JW47" s="4"/>
      <c r="JX47" s="4"/>
      <c r="JY47" s="4"/>
      <c r="JZ47" s="4"/>
      <c r="KA47" s="4"/>
      <c r="KB47" s="4"/>
      <c r="KC47" s="4"/>
      <c r="KD47" s="4"/>
      <c r="KE47" s="4"/>
      <c r="KF47" s="4"/>
      <c r="KG47" s="4"/>
      <c r="KH47" s="4"/>
      <c r="KI47" s="4"/>
      <c r="KJ47" s="4"/>
      <c r="KK47" s="4"/>
      <c r="KL47" s="4"/>
      <c r="KM47" s="4"/>
      <c r="KN47" s="4"/>
      <c r="KO47" s="4"/>
      <c r="KP47" s="4"/>
      <c r="KQ47" s="4"/>
      <c r="KR47" s="4"/>
      <c r="KS47" s="4"/>
      <c r="KT47" s="4"/>
      <c r="KU47" s="4"/>
      <c r="KV47" s="4"/>
      <c r="KW47" s="4"/>
      <c r="KX47" s="4"/>
      <c r="KY47" s="4"/>
      <c r="KZ47" s="4"/>
      <c r="LA47" s="4"/>
      <c r="LB47" s="4"/>
      <c r="LC47" s="4"/>
      <c r="LD47" s="4"/>
      <c r="LE47" s="4"/>
      <c r="LF47" s="4"/>
      <c r="LG47" s="4"/>
      <c r="LH47" s="4"/>
      <c r="LI47" s="4"/>
      <c r="LJ47" s="4"/>
      <c r="LK47" s="4"/>
      <c r="LL47" s="4"/>
      <c r="LM47" s="4"/>
      <c r="LN47" s="4"/>
      <c r="LO47" s="4"/>
      <c r="LP47" s="4"/>
      <c r="LQ47" s="4"/>
      <c r="LR47" s="4"/>
    </row>
    <row r="48" spans="22:330" x14ac:dyDescent="0.25">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c r="FF48" s="4"/>
      <c r="FG48" s="4"/>
      <c r="FH48" s="4"/>
      <c r="FI48" s="4"/>
      <c r="FJ48" s="4"/>
      <c r="FK48" s="4"/>
      <c r="FL48" s="4"/>
      <c r="FM48" s="4"/>
      <c r="FN48" s="4"/>
      <c r="FO48" s="4"/>
      <c r="FP48" s="4"/>
      <c r="FQ48" s="4"/>
      <c r="FR48" s="4"/>
      <c r="FS48" s="4"/>
      <c r="FT48" s="4"/>
      <c r="FU48" s="4"/>
      <c r="FV48" s="4"/>
      <c r="FW48" s="4"/>
      <c r="FX48" s="4"/>
      <c r="FY48" s="4"/>
      <c r="FZ48" s="4"/>
      <c r="GA48" s="4"/>
      <c r="GB48" s="4"/>
      <c r="GC48" s="4"/>
      <c r="GD48" s="4"/>
      <c r="GE48" s="4"/>
      <c r="GF48" s="4"/>
      <c r="GG48" s="4"/>
      <c r="GH48" s="4"/>
      <c r="GI48" s="4"/>
      <c r="GJ48" s="4"/>
      <c r="GK48" s="4"/>
      <c r="GL48" s="4"/>
      <c r="GM48" s="4"/>
      <c r="GN48" s="4"/>
      <c r="GO48" s="4"/>
      <c r="GP48" s="4"/>
      <c r="GQ48" s="4"/>
      <c r="GR48" s="4"/>
      <c r="GS48" s="4"/>
      <c r="GT48" s="4"/>
      <c r="GU48" s="4"/>
      <c r="GV48" s="4"/>
      <c r="GW48" s="4"/>
      <c r="GX48" s="4"/>
      <c r="GY48" s="4"/>
      <c r="GZ48" s="4"/>
      <c r="HA48" s="4"/>
      <c r="HB48" s="4"/>
      <c r="HC48" s="4"/>
      <c r="HD48" s="4"/>
      <c r="HE48" s="4"/>
      <c r="HF48" s="4"/>
      <c r="HG48" s="4"/>
      <c r="HH48" s="4"/>
      <c r="HI48" s="4"/>
      <c r="HJ48" s="4"/>
      <c r="HK48" s="4"/>
      <c r="HL48" s="4"/>
      <c r="HM48" s="4"/>
      <c r="HN48" s="4"/>
      <c r="HO48" s="4"/>
      <c r="HP48" s="4"/>
      <c r="HQ48" s="4"/>
      <c r="HR48" s="4"/>
      <c r="HS48" s="4"/>
      <c r="HT48" s="4"/>
      <c r="HU48" s="4"/>
      <c r="HV48" s="4"/>
      <c r="HW48" s="4"/>
      <c r="HX48" s="4"/>
      <c r="HY48" s="4"/>
      <c r="HZ48" s="4"/>
      <c r="IA48" s="4"/>
      <c r="IB48" s="4"/>
      <c r="IC48" s="4"/>
      <c r="ID48" s="4"/>
      <c r="IE48" s="4"/>
      <c r="IF48" s="4"/>
      <c r="IG48" s="4"/>
      <c r="IH48" s="4"/>
      <c r="II48" s="4"/>
      <c r="IJ48" s="4"/>
      <c r="IK48" s="4"/>
      <c r="IL48" s="4"/>
      <c r="IM48" s="4"/>
      <c r="IN48" s="4"/>
      <c r="IO48" s="4"/>
      <c r="IP48" s="4"/>
      <c r="IQ48" s="4"/>
      <c r="IR48" s="4"/>
      <c r="IS48" s="4"/>
      <c r="IT48" s="4"/>
      <c r="IU48" s="4"/>
      <c r="IV48" s="4"/>
      <c r="IW48" s="4"/>
      <c r="IX48" s="4"/>
      <c r="IY48" s="4"/>
      <c r="IZ48" s="4"/>
      <c r="JA48" s="4"/>
      <c r="JB48" s="4"/>
      <c r="JC48" s="4"/>
      <c r="JD48" s="4"/>
      <c r="JE48" s="4"/>
      <c r="JF48" s="4"/>
      <c r="JG48" s="4"/>
      <c r="JH48" s="4"/>
      <c r="JI48" s="4"/>
      <c r="JJ48" s="4"/>
      <c r="JK48" s="4"/>
      <c r="JL48" s="4"/>
      <c r="JM48" s="4"/>
      <c r="JN48" s="4"/>
      <c r="JO48" s="4"/>
      <c r="JP48" s="4"/>
      <c r="JQ48" s="4"/>
      <c r="JR48" s="4"/>
      <c r="JS48" s="4"/>
      <c r="JT48" s="4"/>
      <c r="JU48" s="4"/>
      <c r="JV48" s="4"/>
      <c r="JW48" s="4"/>
      <c r="JX48" s="4"/>
      <c r="JY48" s="4"/>
      <c r="JZ48" s="4"/>
      <c r="KA48" s="4"/>
      <c r="KB48" s="4"/>
      <c r="KC48" s="4"/>
      <c r="KD48" s="4"/>
      <c r="KE48" s="4"/>
      <c r="KF48" s="4"/>
      <c r="KG48" s="4"/>
      <c r="KH48" s="4"/>
      <c r="KI48" s="4"/>
      <c r="KJ48" s="4"/>
      <c r="KK48" s="4"/>
      <c r="KL48" s="4"/>
      <c r="KM48" s="4"/>
      <c r="KN48" s="4"/>
      <c r="KO48" s="4"/>
      <c r="KP48" s="4"/>
      <c r="KQ48" s="4"/>
      <c r="KR48" s="4"/>
      <c r="KS48" s="4"/>
      <c r="KT48" s="4"/>
      <c r="KU48" s="4"/>
      <c r="KV48" s="4"/>
      <c r="KW48" s="4"/>
      <c r="KX48" s="4"/>
      <c r="KY48" s="4"/>
      <c r="KZ48" s="4"/>
      <c r="LA48" s="4"/>
      <c r="LB48" s="4"/>
      <c r="LC48" s="4"/>
      <c r="LD48" s="4"/>
      <c r="LE48" s="4"/>
      <c r="LF48" s="4"/>
      <c r="LG48" s="4"/>
      <c r="LH48" s="4"/>
      <c r="LI48" s="4"/>
      <c r="LJ48" s="4"/>
      <c r="LK48" s="4"/>
      <c r="LL48" s="4"/>
      <c r="LM48" s="4"/>
      <c r="LN48" s="4"/>
      <c r="LO48" s="4"/>
      <c r="LP48" s="4"/>
      <c r="LQ48" s="4"/>
      <c r="LR48" s="4"/>
    </row>
    <row r="49" spans="22:330" x14ac:dyDescent="0.25">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c r="FF49" s="4"/>
      <c r="FG49" s="4"/>
      <c r="FH49" s="4"/>
      <c r="FI49" s="4"/>
      <c r="FJ49" s="4"/>
      <c r="FK49" s="4"/>
      <c r="FL49" s="4"/>
      <c r="FM49" s="4"/>
      <c r="FN49" s="4"/>
      <c r="FO49" s="4"/>
      <c r="FP49" s="4"/>
      <c r="FQ49" s="4"/>
      <c r="FR49" s="4"/>
      <c r="FS49" s="4"/>
      <c r="FT49" s="4"/>
      <c r="FU49" s="4"/>
      <c r="FV49" s="4"/>
      <c r="FW49" s="4"/>
      <c r="FX49" s="4"/>
      <c r="FY49" s="4"/>
      <c r="FZ49" s="4"/>
      <c r="GA49" s="4"/>
      <c r="GB49" s="4"/>
      <c r="GC49" s="4"/>
      <c r="GD49" s="4"/>
      <c r="GE49" s="4"/>
      <c r="GF49" s="4"/>
      <c r="GG49" s="4"/>
      <c r="GH49" s="4"/>
      <c r="GI49" s="4"/>
      <c r="GJ49" s="4"/>
      <c r="GK49" s="4"/>
      <c r="GL49" s="4"/>
      <c r="GM49" s="4"/>
      <c r="GN49" s="4"/>
      <c r="GO49" s="4"/>
      <c r="GP49" s="4"/>
      <c r="GQ49" s="4"/>
      <c r="GR49" s="4"/>
      <c r="GS49" s="4"/>
      <c r="GT49" s="4"/>
      <c r="GU49" s="4"/>
      <c r="GV49" s="4"/>
      <c r="GW49" s="4"/>
      <c r="GX49" s="4"/>
      <c r="GY49" s="4"/>
      <c r="GZ49" s="4"/>
      <c r="HA49" s="4"/>
      <c r="HB49" s="4"/>
      <c r="HC49" s="4"/>
      <c r="HD49" s="4"/>
      <c r="HE49" s="4"/>
      <c r="HF49" s="4"/>
      <c r="HG49" s="4"/>
      <c r="HH49" s="4"/>
      <c r="HI49" s="4"/>
      <c r="HJ49" s="4"/>
      <c r="HK49" s="4"/>
      <c r="HL49" s="4"/>
      <c r="HM49" s="4"/>
      <c r="HN49" s="4"/>
      <c r="HO49" s="4"/>
      <c r="HP49" s="4"/>
      <c r="HQ49" s="4"/>
      <c r="HR49" s="4"/>
      <c r="HS49" s="4"/>
      <c r="HT49" s="4"/>
      <c r="HU49" s="4"/>
      <c r="HV49" s="4"/>
      <c r="HW49" s="4"/>
      <c r="HX49" s="4"/>
      <c r="HY49" s="4"/>
      <c r="HZ49" s="4"/>
      <c r="IA49" s="4"/>
      <c r="IB49" s="4"/>
      <c r="IC49" s="4"/>
      <c r="ID49" s="4"/>
      <c r="IE49" s="4"/>
      <c r="IF49" s="4"/>
      <c r="IG49" s="4"/>
      <c r="IH49" s="4"/>
      <c r="II49" s="4"/>
      <c r="IJ49" s="4"/>
      <c r="IK49" s="4"/>
      <c r="IL49" s="4"/>
      <c r="IM49" s="4"/>
      <c r="IN49" s="4"/>
      <c r="IO49" s="4"/>
      <c r="IP49" s="4"/>
      <c r="IQ49" s="4"/>
      <c r="IR49" s="4"/>
      <c r="IS49" s="4"/>
      <c r="IT49" s="4"/>
      <c r="IU49" s="4"/>
      <c r="IV49" s="4"/>
      <c r="IW49" s="4"/>
      <c r="IX49" s="4"/>
      <c r="IY49" s="4"/>
      <c r="IZ49" s="4"/>
      <c r="JA49" s="4"/>
      <c r="JB49" s="4"/>
      <c r="JC49" s="4"/>
      <c r="JD49" s="4"/>
      <c r="JE49" s="4"/>
      <c r="JF49" s="4"/>
      <c r="JG49" s="4"/>
      <c r="JH49" s="4"/>
      <c r="JI49" s="4"/>
      <c r="JJ49" s="4"/>
      <c r="JK49" s="4"/>
      <c r="JL49" s="4"/>
      <c r="JM49" s="4"/>
      <c r="JN49" s="4"/>
      <c r="JO49" s="4"/>
      <c r="JP49" s="4"/>
      <c r="JQ49" s="4"/>
      <c r="JR49" s="4"/>
      <c r="JS49" s="4"/>
      <c r="JT49" s="4"/>
      <c r="JU49" s="4"/>
      <c r="JV49" s="4"/>
      <c r="JW49" s="4"/>
      <c r="JX49" s="4"/>
      <c r="JY49" s="4"/>
      <c r="JZ49" s="4"/>
      <c r="KA49" s="4"/>
      <c r="KB49" s="4"/>
      <c r="KC49" s="4"/>
      <c r="KD49" s="4"/>
      <c r="KE49" s="4"/>
      <c r="KF49" s="4"/>
      <c r="KG49" s="4"/>
      <c r="KH49" s="4"/>
      <c r="KI49" s="4"/>
      <c r="KJ49" s="4"/>
      <c r="KK49" s="4"/>
      <c r="KL49" s="4"/>
      <c r="KM49" s="4"/>
      <c r="KN49" s="4"/>
      <c r="KO49" s="4"/>
      <c r="KP49" s="4"/>
      <c r="KQ49" s="4"/>
      <c r="KR49" s="4"/>
      <c r="KS49" s="4"/>
      <c r="KT49" s="4"/>
      <c r="KU49" s="4"/>
      <c r="KV49" s="4"/>
      <c r="KW49" s="4"/>
      <c r="KX49" s="4"/>
      <c r="KY49" s="4"/>
      <c r="KZ49" s="4"/>
      <c r="LA49" s="4"/>
      <c r="LB49" s="4"/>
      <c r="LC49" s="4"/>
      <c r="LD49" s="4"/>
      <c r="LE49" s="4"/>
      <c r="LF49" s="4"/>
      <c r="LG49" s="4"/>
      <c r="LH49" s="4"/>
      <c r="LI49" s="4"/>
      <c r="LJ49" s="4"/>
      <c r="LK49" s="4"/>
      <c r="LL49" s="4"/>
      <c r="LM49" s="4"/>
      <c r="LN49" s="4"/>
      <c r="LO49" s="4"/>
      <c r="LP49" s="4"/>
      <c r="LQ49" s="4"/>
      <c r="LR49" s="4"/>
    </row>
    <row r="50" spans="22:330" x14ac:dyDescent="0.25">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c r="FF50" s="4"/>
      <c r="FG50" s="4"/>
      <c r="FH50" s="4"/>
      <c r="FI50" s="4"/>
      <c r="FJ50" s="4"/>
      <c r="FK50" s="4"/>
      <c r="FL50" s="4"/>
      <c r="FM50" s="4"/>
      <c r="FN50" s="4"/>
      <c r="FO50" s="4"/>
      <c r="FP50" s="4"/>
      <c r="FQ50" s="4"/>
      <c r="FR50" s="4"/>
      <c r="FS50" s="4"/>
      <c r="FT50" s="4"/>
      <c r="FU50" s="4"/>
      <c r="FV50" s="4"/>
      <c r="FW50" s="4"/>
      <c r="FX50" s="4"/>
      <c r="FY50" s="4"/>
      <c r="FZ50" s="4"/>
      <c r="GA50" s="4"/>
      <c r="GB50" s="4"/>
      <c r="GC50" s="4"/>
      <c r="GD50" s="4"/>
      <c r="GE50" s="4"/>
      <c r="GF50" s="4"/>
      <c r="GG50" s="4"/>
      <c r="GH50" s="4"/>
      <c r="GI50" s="4"/>
      <c r="GJ50" s="4"/>
      <c r="GK50" s="4"/>
      <c r="GL50" s="4"/>
      <c r="GM50" s="4"/>
      <c r="GN50" s="4"/>
      <c r="GO50" s="4"/>
      <c r="GP50" s="4"/>
      <c r="GQ50" s="4"/>
      <c r="GR50" s="4"/>
      <c r="GS50" s="4"/>
      <c r="GT50" s="4"/>
      <c r="GU50" s="4"/>
      <c r="GV50" s="4"/>
      <c r="GW50" s="4"/>
      <c r="GX50" s="4"/>
      <c r="GY50" s="4"/>
      <c r="GZ50" s="4"/>
      <c r="HA50" s="4"/>
      <c r="HB50" s="4"/>
      <c r="HC50" s="4"/>
      <c r="HD50" s="4"/>
      <c r="HE50" s="4"/>
      <c r="HF50" s="4"/>
      <c r="HG50" s="4"/>
      <c r="HH50" s="4"/>
      <c r="HI50" s="4"/>
      <c r="HJ50" s="4"/>
      <c r="HK50" s="4"/>
      <c r="HL50" s="4"/>
      <c r="HM50" s="4"/>
      <c r="HN50" s="4"/>
      <c r="HO50" s="4"/>
      <c r="HP50" s="4"/>
      <c r="HQ50" s="4"/>
      <c r="HR50" s="4"/>
      <c r="HS50" s="4"/>
      <c r="HT50" s="4"/>
      <c r="HU50" s="4"/>
      <c r="HV50" s="4"/>
      <c r="HW50" s="4"/>
      <c r="HX50" s="4"/>
      <c r="HY50" s="4"/>
      <c r="HZ50" s="4"/>
      <c r="IA50" s="4"/>
      <c r="IB50" s="4"/>
      <c r="IC50" s="4"/>
      <c r="ID50" s="4"/>
      <c r="IE50" s="4"/>
      <c r="IF50" s="4"/>
      <c r="IG50" s="4"/>
      <c r="IH50" s="4"/>
      <c r="II50" s="4"/>
      <c r="IJ50" s="4"/>
      <c r="IK50" s="4"/>
      <c r="IL50" s="4"/>
      <c r="IM50" s="4"/>
      <c r="IN50" s="4"/>
      <c r="IO50" s="4"/>
      <c r="IP50" s="4"/>
      <c r="IQ50" s="4"/>
      <c r="IR50" s="4"/>
      <c r="IS50" s="4"/>
      <c r="IT50" s="4"/>
      <c r="IU50" s="4"/>
      <c r="IV50" s="4"/>
      <c r="IW50" s="4"/>
      <c r="IX50" s="4"/>
      <c r="IY50" s="4"/>
      <c r="IZ50" s="4"/>
      <c r="JA50" s="4"/>
      <c r="JB50" s="4"/>
      <c r="JC50" s="4"/>
      <c r="JD50" s="4"/>
      <c r="JE50" s="4"/>
      <c r="JF50" s="4"/>
      <c r="JG50" s="4"/>
      <c r="JH50" s="4"/>
      <c r="JI50" s="4"/>
      <c r="JJ50" s="4"/>
      <c r="JK50" s="4"/>
      <c r="JL50" s="4"/>
      <c r="JM50" s="4"/>
      <c r="JN50" s="4"/>
      <c r="JO50" s="4"/>
      <c r="JP50" s="4"/>
      <c r="JQ50" s="4"/>
      <c r="JR50" s="4"/>
      <c r="JS50" s="4"/>
      <c r="JT50" s="4"/>
      <c r="JU50" s="4"/>
      <c r="JV50" s="4"/>
      <c r="JW50" s="4"/>
      <c r="JX50" s="4"/>
      <c r="JY50" s="4"/>
      <c r="JZ50" s="4"/>
      <c r="KA50" s="4"/>
      <c r="KB50" s="4"/>
      <c r="KC50" s="4"/>
      <c r="KD50" s="4"/>
      <c r="KE50" s="4"/>
      <c r="KF50" s="4"/>
      <c r="KG50" s="4"/>
      <c r="KH50" s="4"/>
      <c r="KI50" s="4"/>
      <c r="KJ50" s="4"/>
      <c r="KK50" s="4"/>
      <c r="KL50" s="4"/>
      <c r="KM50" s="4"/>
      <c r="KN50" s="4"/>
      <c r="KO50" s="4"/>
      <c r="KP50" s="4"/>
      <c r="KQ50" s="4"/>
      <c r="KR50" s="4"/>
      <c r="KS50" s="4"/>
      <c r="KT50" s="4"/>
      <c r="KU50" s="4"/>
      <c r="KV50" s="4"/>
      <c r="KW50" s="4"/>
      <c r="KX50" s="4"/>
      <c r="KY50" s="4"/>
      <c r="KZ50" s="4"/>
      <c r="LA50" s="4"/>
      <c r="LB50" s="4"/>
      <c r="LC50" s="4"/>
      <c r="LD50" s="4"/>
      <c r="LE50" s="4"/>
      <c r="LF50" s="4"/>
      <c r="LG50" s="4"/>
      <c r="LH50" s="4"/>
      <c r="LI50" s="4"/>
      <c r="LJ50" s="4"/>
      <c r="LK50" s="4"/>
      <c r="LL50" s="4"/>
      <c r="LM50" s="4"/>
      <c r="LN50" s="4"/>
      <c r="LO50" s="4"/>
      <c r="LP50" s="4"/>
      <c r="LQ50" s="4"/>
      <c r="LR50" s="4"/>
    </row>
  </sheetData>
  <mergeCells count="13">
    <mergeCell ref="A1:XFD1"/>
    <mergeCell ref="A3:K3"/>
    <mergeCell ref="B13:C13"/>
    <mergeCell ref="B12:C12"/>
    <mergeCell ref="B11:C11"/>
    <mergeCell ref="B10:C10"/>
    <mergeCell ref="B9:C9"/>
    <mergeCell ref="A5:A6"/>
    <mergeCell ref="B5:C6"/>
    <mergeCell ref="G5:K5"/>
    <mergeCell ref="B8:C8"/>
    <mergeCell ref="B7:C7"/>
    <mergeCell ref="D5:E5"/>
  </mergeCells>
  <conditionalFormatting sqref="F7:F13">
    <cfRule type="cellIs" dxfId="2" priority="2" operator="lessThan">
      <formula>1</formula>
    </cfRule>
    <cfRule type="cellIs" dxfId="1" priority="3" operator="greaterThanOrEqual">
      <formula>1</formula>
    </cfRule>
    <cfRule type="cellIs" dxfId="0" priority="1" operator="equal">
      <formula>0</formula>
    </cfRule>
  </conditionalFormatting>
  <pageMargins left="0.75" right="0.75" top="1" bottom="1" header="0.5" footer="0.5"/>
  <pageSetup scale="5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learValuesTech">
                <anchor moveWithCells="1" sizeWithCells="1">
                  <from>
                    <xdr:col>0</xdr:col>
                    <xdr:colOff>0</xdr:colOff>
                    <xdr:row>2</xdr:row>
                    <xdr:rowOff>335280</xdr:rowOff>
                  </from>
                  <to>
                    <xdr:col>1</xdr:col>
                    <xdr:colOff>0</xdr:colOff>
                    <xdr:row>4</xdr:row>
                    <xdr:rowOff>7620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5160E24195B024CB9EDFF333ABE4C4F" ma:contentTypeVersion="1" ma:contentTypeDescription="Create a new document." ma:contentTypeScope="" ma:versionID="503c9eda43476e6313553e051a6627f6">
  <xsd:schema xmlns:xsd="http://www.w3.org/2001/XMLSchema" xmlns:xs="http://www.w3.org/2001/XMLSchema" xmlns:p="http://schemas.microsoft.com/office/2006/metadata/properties" xmlns:ns2="a9a8cc01-fa63-4912-a858-ce81198bc259" targetNamespace="http://schemas.microsoft.com/office/2006/metadata/properties" ma:root="true" ma:fieldsID="2c0d0439d5b310c3eeb5be3280f982df" ns2:_="">
    <xsd:import namespace="a9a8cc01-fa63-4912-a858-ce81198bc259"/>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9a8cc01-fa63-4912-a858-ce81198bc25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BFCEC02-8495-4CBD-BD47-9114D235CF75}"/>
</file>

<file path=customXml/itemProps2.xml><?xml version="1.0" encoding="utf-8"?>
<ds:datastoreItem xmlns:ds="http://schemas.openxmlformats.org/officeDocument/2006/customXml" ds:itemID="{DAFB7214-95A1-49FF-837F-A7974CB574DC}"/>
</file>

<file path=customXml/itemProps3.xml><?xml version="1.0" encoding="utf-8"?>
<ds:datastoreItem xmlns:ds="http://schemas.openxmlformats.org/officeDocument/2006/customXml" ds:itemID="{8793E325-0E59-4362-A010-73081BA8313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Title</vt:lpstr>
      <vt:lpstr>Instructions</vt:lpstr>
      <vt:lpstr>Dashboard</vt:lpstr>
      <vt:lpstr>Business Need</vt:lpstr>
      <vt:lpstr>Stakeholder Community</vt:lpstr>
      <vt:lpstr>Planning Process</vt:lpstr>
      <vt:lpstr>Technical Capability</vt:lpstr>
      <vt:lpstr>Sheet1</vt:lpstr>
      <vt:lpstr>'Business Need'!Print_Area</vt:lpstr>
      <vt:lpstr>Instructions!Print_Area</vt:lpstr>
      <vt:lpstr>'Planning Process'!Print_Area</vt:lpstr>
      <vt:lpstr>'Stakeholder Community'!Print_Area</vt:lpstr>
      <vt:lpstr>'Technical Capability'!Print_Area</vt:lpstr>
    </vt:vector>
  </TitlesOfParts>
  <Company>Deloitte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Jimbo, Zedekia</dc:creator>
  <cp:lastModifiedBy>Jean Jackson</cp:lastModifiedBy>
  <cp:lastPrinted>2012-08-14T12:34:25Z</cp:lastPrinted>
  <dcterms:created xsi:type="dcterms:W3CDTF">2011-04-02T18:04:11Z</dcterms:created>
  <dcterms:modified xsi:type="dcterms:W3CDTF">2012-08-14T19:29:49Z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0x01010045160E24195B024CB9EDFF333ABE4C4F</vt:lpwstr>
  </property>
</Properties>
</file>